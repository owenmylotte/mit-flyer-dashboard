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verage Data" sheetId="2" state="visible" r:id="rId4"/>
    <sheet name="Summary" sheetId="3" state="visible" r:id="rId5"/>
  </sheets>
  <definedNames>
    <definedName function="false" hidden="true" localSheetId="1" name="_xlnm._FilterDatabase" vbProcedure="false">'Coverage Data'!$A$1:$I$288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<sst xmlns="http://schemas.openxmlformats.org/spreadsheetml/2006/main" count="2316" uniqueCount="176">
  <si>
    <t xml:space="preserve">MIT Flyer Coverage Tracker</t>
  </si>
  <si>
    <t xml:space="preserve">How to use:</t>
  </si>
  <si>
    <t xml:space="preserve">1. Go to 'Coverage Data' to enter posting data. One row = one posting spot.</t>
  </si>
  <si>
    <t xml:space="preserve">2. Columns: Building, Bldg #, Floor, Spot Name, Spot Type, Assigned To, Posted (YES/NO), Date, Notes.</t>
  </si>
  <si>
    <t xml:space="preserve">3. 'Summary' auto-calculates coverage by building.</t>
  </si>
  <si>
    <t xml:space="preserve">4. Update the 'Spot Name' column with real spot descriptions (e.g. 'Main Lobby Board').</t>
  </si>
  <si>
    <t xml:space="preserve">5. Update the Posted column and Date after each flyering run.</t>
  </si>
  <si>
    <t xml:space="preserve">6. To publish: File &gt; Share &gt; Publish to web &gt; select 'Coverage Data' &gt; CSV.</t>
  </si>
  <si>
    <t xml:space="preserve">This tracker covers 60 buildings and 287 spots.</t>
  </si>
  <si>
    <t xml:space="preserve">Building</t>
  </si>
  <si>
    <t xml:space="preserve">Bldg #</t>
  </si>
  <si>
    <t xml:space="preserve">Floor</t>
  </si>
  <si>
    <t xml:space="preserve">Spot Name</t>
  </si>
  <si>
    <t xml:space="preserve">Spot Type</t>
  </si>
  <si>
    <t xml:space="preserve">Assigned To</t>
  </si>
  <si>
    <t xml:space="preserve">Posted</t>
  </si>
  <si>
    <t xml:space="preserve">Date Posted</t>
  </si>
  <si>
    <t xml:space="preserve">Notes</t>
  </si>
  <si>
    <t xml:space="preserve">Bldg 1 – Civil &amp; Environmental Eng</t>
  </si>
  <si>
    <t xml:space="preserve">1</t>
  </si>
  <si>
    <t xml:space="preserve">Floor 1 Board</t>
  </si>
  <si>
    <t xml:space="preserve">Bulletin Board</t>
  </si>
  <si>
    <t xml:space="preserve">Priya</t>
  </si>
  <si>
    <t xml:space="preserve">NO</t>
  </si>
  <si>
    <t xml:space="preserve">2</t>
  </si>
  <si>
    <t xml:space="preserve">Floor 2 Board</t>
  </si>
  <si>
    <t xml:space="preserve">3</t>
  </si>
  <si>
    <t xml:space="preserve">Floor 3 Board</t>
  </si>
  <si>
    <t xml:space="preserve">YES</t>
  </si>
  <si>
    <t xml:space="preserve">2026-03-10</t>
  </si>
  <si>
    <t xml:space="preserve">4</t>
  </si>
  <si>
    <t xml:space="preserve">Floor 4 Board</t>
  </si>
  <si>
    <t xml:space="preserve">Couldn't access</t>
  </si>
  <si>
    <t xml:space="preserve">Bldg 2 – Mechanical Eng</t>
  </si>
  <si>
    <t xml:space="preserve">Marcus</t>
  </si>
  <si>
    <t xml:space="preserve">Need permission</t>
  </si>
  <si>
    <t xml:space="preserve">Bldg 3 – Maclaurin (West)</t>
  </si>
  <si>
    <t xml:space="preserve">Elena</t>
  </si>
  <si>
    <t xml:space="preserve">Bldg 4 – Maclaurin (East)</t>
  </si>
  <si>
    <t xml:space="preserve">DeShawn</t>
  </si>
  <si>
    <t xml:space="preserve">Bldg 5 – Chemistry</t>
  </si>
  <si>
    <t xml:space="preserve">5</t>
  </si>
  <si>
    <t xml:space="preserve">Lina</t>
  </si>
  <si>
    <t xml:space="preserve">Bldg 6 – Electrical Eng</t>
  </si>
  <si>
    <t xml:space="preserve">6</t>
  </si>
  <si>
    <t xml:space="preserve">Jordan</t>
  </si>
  <si>
    <t xml:space="preserve">Bldg 7 – Rogers Building</t>
  </si>
  <si>
    <t xml:space="preserve">7</t>
  </si>
  <si>
    <t xml:space="preserve">Bldg 8 – Carr Lab</t>
  </si>
  <si>
    <t xml:space="preserve">8</t>
  </si>
  <si>
    <t xml:space="preserve">Bldg 10 – Maclaurin (Great Dome)</t>
  </si>
  <si>
    <t xml:space="preserve">10</t>
  </si>
  <si>
    <t xml:space="preserve">Bldg 9 – Hayden Library Annex</t>
  </si>
  <si>
    <t xml:space="preserve">9</t>
  </si>
  <si>
    <t xml:space="preserve">Bldg 11 – Homberg</t>
  </si>
  <si>
    <t xml:space="preserve">11</t>
  </si>
  <si>
    <t xml:space="preserve">Bldg 13 – Bush Building</t>
  </si>
  <si>
    <t xml:space="preserve">13</t>
  </si>
  <si>
    <t xml:space="preserve">Bldg 14 – Hayden Library</t>
  </si>
  <si>
    <t xml:space="preserve">14</t>
  </si>
  <si>
    <t xml:space="preserve">Bldg 16 – Dorrance (MatSci)</t>
  </si>
  <si>
    <t xml:space="preserve">16</t>
  </si>
  <si>
    <t xml:space="preserve">Bldg 18 – Dreyfus (Chemistry)</t>
  </si>
  <si>
    <t xml:space="preserve">18</t>
  </si>
  <si>
    <t xml:space="preserve">Bldg 24 – Nuclear Sci &amp; Eng</t>
  </si>
  <si>
    <t xml:space="preserve">24</t>
  </si>
  <si>
    <t xml:space="preserve">Floor 5 Board</t>
  </si>
  <si>
    <t xml:space="preserve">Board full</t>
  </si>
  <si>
    <t xml:space="preserve">Bldg 26 – Compton Labs</t>
  </si>
  <si>
    <t xml:space="preserve">26</t>
  </si>
  <si>
    <t xml:space="preserve">Bldg 31 – Sloan Labs (Aero/Astro)</t>
  </si>
  <si>
    <t xml:space="preserve">31</t>
  </si>
  <si>
    <t xml:space="preserve">Bldg 33 – Guggenheim (Aero)</t>
  </si>
  <si>
    <t xml:space="preserve">33</t>
  </si>
  <si>
    <t xml:space="preserve">Bldg 34 – EG&amp;G Education Center</t>
  </si>
  <si>
    <t xml:space="preserve">34</t>
  </si>
  <si>
    <t xml:space="preserve">Bldg 35 – Sloan Automotive Lab</t>
  </si>
  <si>
    <t xml:space="preserve">35</t>
  </si>
  <si>
    <t xml:space="preserve">Bldg 36 – Fairchild</t>
  </si>
  <si>
    <t xml:space="preserve">36</t>
  </si>
  <si>
    <t xml:space="preserve">Bldg 37 – McNair Building</t>
  </si>
  <si>
    <t xml:space="preserve">37</t>
  </si>
  <si>
    <t xml:space="preserve">Bldg 38 – Fairchild Annex</t>
  </si>
  <si>
    <t xml:space="preserve">38</t>
  </si>
  <si>
    <t xml:space="preserve">Bldg 39 – Brown Building</t>
  </si>
  <si>
    <t xml:space="preserve">39</t>
  </si>
  <si>
    <t xml:space="preserve">Bldg 32 – Stata Center (CSAIL)</t>
  </si>
  <si>
    <t xml:space="preserve">32</t>
  </si>
  <si>
    <t xml:space="preserve">Floor 6 Board</t>
  </si>
  <si>
    <t xml:space="preserve">Floor 7 Board</t>
  </si>
  <si>
    <t xml:space="preserve">Floor 8 Board</t>
  </si>
  <si>
    <t xml:space="preserve">Floor 9 Board</t>
  </si>
  <si>
    <t xml:space="preserve">Bldg 46 – Brain &amp; Cognitive Sci</t>
  </si>
  <si>
    <t xml:space="preserve">46</t>
  </si>
  <si>
    <t xml:space="preserve">Bldg 54 – Green Building (Earth Sci)</t>
  </si>
  <si>
    <t xml:space="preserve">54</t>
  </si>
  <si>
    <t xml:space="preserve">Floor 10 Board</t>
  </si>
  <si>
    <t xml:space="preserve">Floor 11 Board</t>
  </si>
  <si>
    <t xml:space="preserve">12</t>
  </si>
  <si>
    <t xml:space="preserve">Floor 12 Board</t>
  </si>
  <si>
    <t xml:space="preserve">Floor 13 Board</t>
  </si>
  <si>
    <t xml:space="preserve">Floor 14 Board</t>
  </si>
  <si>
    <t xml:space="preserve">15</t>
  </si>
  <si>
    <t xml:space="preserve">Floor 15 Board</t>
  </si>
  <si>
    <t xml:space="preserve">Floor 16 Board</t>
  </si>
  <si>
    <t xml:space="preserve">17</t>
  </si>
  <si>
    <t xml:space="preserve">Floor 17 Board</t>
  </si>
  <si>
    <t xml:space="preserve">Floor 18 Board</t>
  </si>
  <si>
    <t xml:space="preserve">Bldg 56 – Whitaker (BioEng)</t>
  </si>
  <si>
    <t xml:space="preserve">56</t>
  </si>
  <si>
    <t xml:space="preserve">Bldg 66 – Landau (ChemE)</t>
  </si>
  <si>
    <t xml:space="preserve">66</t>
  </si>
  <si>
    <t xml:space="preserve">Bldg 68 – Koch Biology</t>
  </si>
  <si>
    <t xml:space="preserve">68</t>
  </si>
  <si>
    <t xml:space="preserve">Bldg 76 – Koch Institute</t>
  </si>
  <si>
    <t xml:space="preserve">76</t>
  </si>
  <si>
    <t xml:space="preserve">Bldg E14 – Media Lab (new)</t>
  </si>
  <si>
    <t xml:space="preserve">E14</t>
  </si>
  <si>
    <t xml:space="preserve">Bldg E15 – Wiesner (Media Arts)</t>
  </si>
  <si>
    <t xml:space="preserve">E15</t>
  </si>
  <si>
    <t xml:space="preserve">Bldg E17 – MIT Admissions</t>
  </si>
  <si>
    <t xml:space="preserve">E17</t>
  </si>
  <si>
    <t xml:space="preserve">Bldg E18 – Ford Building</t>
  </si>
  <si>
    <t xml:space="preserve">E18</t>
  </si>
  <si>
    <t xml:space="preserve">Bldg E25 – Whitaker College</t>
  </si>
  <si>
    <t xml:space="preserve">E25</t>
  </si>
  <si>
    <t xml:space="preserve">Bldg E40 – Muckley Building</t>
  </si>
  <si>
    <t xml:space="preserve">E40</t>
  </si>
  <si>
    <t xml:space="preserve">Bldg E51 – Tang Center</t>
  </si>
  <si>
    <t xml:space="preserve">E51</t>
  </si>
  <si>
    <t xml:space="preserve">Bldg E52 – Sloan School (Chang)</t>
  </si>
  <si>
    <t xml:space="preserve">E52</t>
  </si>
  <si>
    <t xml:space="preserve">Bldg E53 – Hermann (Econ)</t>
  </si>
  <si>
    <t xml:space="preserve">E53</t>
  </si>
  <si>
    <t xml:space="preserve">Bldg E62 – Sloan (new)</t>
  </si>
  <si>
    <t xml:space="preserve">E62</t>
  </si>
  <si>
    <t xml:space="preserve">Bldg 50 – Walker Memorial</t>
  </si>
  <si>
    <t xml:space="preserve">50</t>
  </si>
  <si>
    <t xml:space="preserve">Bldg 62 – East Campus (West Parallel)</t>
  </si>
  <si>
    <t xml:space="preserve">62</t>
  </si>
  <si>
    <t xml:space="preserve">Bldg 64 – East Campus (East Parallel)</t>
  </si>
  <si>
    <t xml:space="preserve">64</t>
  </si>
  <si>
    <t xml:space="preserve">Bldg W1 – Maseeh Hall</t>
  </si>
  <si>
    <t xml:space="preserve">W1</t>
  </si>
  <si>
    <t xml:space="preserve">Bldg W4 – McCormick Hall</t>
  </si>
  <si>
    <t xml:space="preserve">W4</t>
  </si>
  <si>
    <t xml:space="preserve">Bldg W7 – Baker House</t>
  </si>
  <si>
    <t xml:space="preserve">W7</t>
  </si>
  <si>
    <t xml:space="preserve">Bldg W46 – New Vassar</t>
  </si>
  <si>
    <t xml:space="preserve">W46</t>
  </si>
  <si>
    <t xml:space="preserve">Bldg W51 – Burton-Conner</t>
  </si>
  <si>
    <t xml:space="preserve">W51</t>
  </si>
  <si>
    <t xml:space="preserve">Bldg W61 – MacGregor House</t>
  </si>
  <si>
    <t xml:space="preserve">W61</t>
  </si>
  <si>
    <t xml:space="preserve">Bldg W70 – Next House</t>
  </si>
  <si>
    <t xml:space="preserve">W70</t>
  </si>
  <si>
    <t xml:space="preserve">Bldg W79 – Simmons Hall</t>
  </si>
  <si>
    <t xml:space="preserve">W79</t>
  </si>
  <si>
    <t xml:space="preserve">Bldg NW35 – Edgerton Center</t>
  </si>
  <si>
    <t xml:space="preserve">NW35</t>
  </si>
  <si>
    <t xml:space="preserve">Bldg W16 – Kresge Auditorium</t>
  </si>
  <si>
    <t xml:space="preserve">W16</t>
  </si>
  <si>
    <t xml:space="preserve">Bldg W20 – Student Center</t>
  </si>
  <si>
    <t xml:space="preserve">W20</t>
  </si>
  <si>
    <t xml:space="preserve">Bldg W31 – du Pont Gymnasium</t>
  </si>
  <si>
    <t xml:space="preserve">W31</t>
  </si>
  <si>
    <t xml:space="preserve">Bldg W35 – Zesiger Sports Center</t>
  </si>
  <si>
    <t xml:space="preserve">W35</t>
  </si>
  <si>
    <t xml:space="preserve">Bldg 45 – Schwarzman Computing</t>
  </si>
  <si>
    <t xml:space="preserve">45</t>
  </si>
  <si>
    <t xml:space="preserve">Bldg E28 – MIT Museum</t>
  </si>
  <si>
    <t xml:space="preserve">E28</t>
  </si>
  <si>
    <t xml:space="preserve">Total Spots</t>
  </si>
  <si>
    <t xml:space="preserve">Not Posted</t>
  </si>
  <si>
    <t xml:space="preserve">Coverage %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</si>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</sst>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A31F3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31F34"/>
        <bgColor rgb="FF991B1B"/>
      </patternFill>
    </fill>
    <fill>
      <patternFill patternType="solid">
        <fgColor rgb="FFF5F5F5"/>
        <bgColor rgb="FFFFFFFF"/>
      </patternFill>
    </fill>
    <fill>
      <patternFill patternType="solid">
        <fgColor rgb="FFFCE4EC"/>
        <bgColor rgb="FFF5F5F5"/>
      </patternFill>
    </fill>
    <fill>
      <patternFill patternType="solid">
        <fgColor rgb="FFDCFCE7"/>
        <bgColor rgb="FFCCFFCC"/>
      </patternFill>
    </fill>
    <fill>
      <patternFill patternType="solid">
        <fgColor rgb="FFFFF2C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A31F3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A8B8C"/>
      <rgbColor rgb="FF9999FF"/>
      <rgbColor rgb="FFA31F34"/>
      <rgbColor rgb="FFFFF2CC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1F34"/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B8C"/>
    <pageSetUpPr fitToPage="false"/>
  </sheetPr>
  <dimension ref="A1:I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19</v>
      </c>
      <c r="D2" s="5" t="s">
        <v>20</v>
      </c>
      <c r="E2" s="5" t="s">
        <v>21</v>
      </c>
      <c r="F2" s="5" t="s">
        <v>22</v>
      </c>
      <c r="G2" s="6" t="s">
        <v>23</v>
      </c>
      <c r="H2" s="5"/>
      <c r="I2" s="5"/>
    </row>
    <row r="3" customFormat="false" ht="15" hidden="false" customHeight="false" outlineLevel="0" collapsed="false">
      <c r="A3" s="7" t="s">
        <v>18</v>
      </c>
      <c r="B3" s="7" t="s">
        <v>19</v>
      </c>
      <c r="C3" s="7" t="s">
        <v>24</v>
      </c>
      <c r="D3" s="7" t="s">
        <v>25</v>
      </c>
      <c r="E3" s="7" t="s">
        <v>21</v>
      </c>
      <c r="F3" s="7" t="s">
        <v>22</v>
      </c>
      <c r="G3" s="6" t="s">
        <v>23</v>
      </c>
      <c r="H3" s="7"/>
      <c r="I3" s="7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26</v>
      </c>
      <c r="D4" s="5" t="s">
        <v>27</v>
      </c>
      <c r="E4" s="5" t="s">
        <v>21</v>
      </c>
      <c r="F4" s="5" t="s">
        <v>22</v>
      </c>
      <c r="G4" s="8" t="s">
        <v>28</v>
      </c>
      <c r="H4" s="5" t="s">
        <v>29</v>
      </c>
      <c r="I4" s="5"/>
    </row>
    <row r="5" customFormat="false" ht="15" hidden="false" customHeight="false" outlineLevel="0" collapsed="false">
      <c r="A5" s="7" t="s">
        <v>18</v>
      </c>
      <c r="B5" s="7" t="s">
        <v>19</v>
      </c>
      <c r="C5" s="7" t="s">
        <v>30</v>
      </c>
      <c r="D5" s="7" t="s">
        <v>31</v>
      </c>
      <c r="E5" s="7" t="s">
        <v>21</v>
      </c>
      <c r="F5" s="7" t="s">
        <v>22</v>
      </c>
      <c r="G5" s="6" t="s">
        <v>23</v>
      </c>
      <c r="H5" s="7"/>
      <c r="I5" s="7" t="s">
        <v>32</v>
      </c>
    </row>
    <row r="6" customFormat="false" ht="15" hidden="false" customHeight="false" outlineLevel="0" collapsed="false">
      <c r="A6" s="5" t="s">
        <v>33</v>
      </c>
      <c r="B6" s="5" t="s">
        <v>24</v>
      </c>
      <c r="C6" s="5" t="s">
        <v>19</v>
      </c>
      <c r="D6" s="5" t="s">
        <v>20</v>
      </c>
      <c r="E6" s="5" t="s">
        <v>21</v>
      </c>
      <c r="F6" s="5" t="s">
        <v>34</v>
      </c>
      <c r="G6" s="6" t="s">
        <v>23</v>
      </c>
      <c r="H6" s="5"/>
      <c r="I6" s="5" t="s">
        <v>35</v>
      </c>
    </row>
    <row r="7" customFormat="false" ht="15" hidden="false" customHeight="false" outlineLevel="0" collapsed="false">
      <c r="A7" s="7" t="s">
        <v>33</v>
      </c>
      <c r="B7" s="7" t="s">
        <v>24</v>
      </c>
      <c r="C7" s="7" t="s">
        <v>24</v>
      </c>
      <c r="D7" s="7" t="s">
        <v>25</v>
      </c>
      <c r="E7" s="7" t="s">
        <v>21</v>
      </c>
      <c r="F7" s="7" t="s">
        <v>34</v>
      </c>
      <c r="G7" s="8" t="s">
        <v>28</v>
      </c>
      <c r="H7" s="7" t="s">
        <v>29</v>
      </c>
      <c r="I7" s="7"/>
    </row>
    <row r="8" customFormat="false" ht="15" hidden="false" customHeight="false" outlineLevel="0" collapsed="false">
      <c r="A8" s="5" t="s">
        <v>33</v>
      </c>
      <c r="B8" s="5" t="s">
        <v>24</v>
      </c>
      <c r="C8" s="5" t="s">
        <v>26</v>
      </c>
      <c r="D8" s="5" t="s">
        <v>27</v>
      </c>
      <c r="E8" s="5" t="s">
        <v>21</v>
      </c>
      <c r="F8" s="5" t="s">
        <v>34</v>
      </c>
      <c r="G8" s="8" t="s">
        <v>28</v>
      </c>
      <c r="H8" s="5" t="s">
        <v>29</v>
      </c>
      <c r="I8" s="5"/>
    </row>
    <row r="9" customFormat="false" ht="15" hidden="false" customHeight="false" outlineLevel="0" collapsed="false">
      <c r="A9" s="7" t="s">
        <v>33</v>
      </c>
      <c r="B9" s="7" t="s">
        <v>24</v>
      </c>
      <c r="C9" s="7" t="s">
        <v>30</v>
      </c>
      <c r="D9" s="7" t="s">
        <v>31</v>
      </c>
      <c r="E9" s="7" t="s">
        <v>21</v>
      </c>
      <c r="F9" s="7" t="s">
        <v>34</v>
      </c>
      <c r="G9" s="8" t="s">
        <v>28</v>
      </c>
      <c r="H9" s="7" t="s">
        <v>29</v>
      </c>
      <c r="I9" s="7"/>
    </row>
    <row r="10" customFormat="false" ht="15" hidden="false" customHeight="false" outlineLevel="0" collapsed="false">
      <c r="A10" s="5" t="s">
        <v>36</v>
      </c>
      <c r="B10" s="5" t="s">
        <v>26</v>
      </c>
      <c r="C10" s="5" t="s">
        <v>19</v>
      </c>
      <c r="D10" s="5" t="s">
        <v>20</v>
      </c>
      <c r="E10" s="5" t="s">
        <v>21</v>
      </c>
      <c r="F10" s="5" t="s">
        <v>37</v>
      </c>
      <c r="G10" s="8" t="s">
        <v>28</v>
      </c>
      <c r="H10" s="5" t="s">
        <v>29</v>
      </c>
      <c r="I10" s="5"/>
    </row>
    <row r="11" customFormat="false" ht="15" hidden="false" customHeight="false" outlineLevel="0" collapsed="false">
      <c r="A11" s="7" t="s">
        <v>36</v>
      </c>
      <c r="B11" s="7" t="s">
        <v>26</v>
      </c>
      <c r="C11" s="7" t="s">
        <v>24</v>
      </c>
      <c r="D11" s="7" t="s">
        <v>25</v>
      </c>
      <c r="E11" s="7" t="s">
        <v>21</v>
      </c>
      <c r="F11" s="7" t="s">
        <v>37</v>
      </c>
      <c r="G11" s="8" t="s">
        <v>28</v>
      </c>
      <c r="H11" s="7" t="s">
        <v>29</v>
      </c>
      <c r="I11" s="7"/>
    </row>
    <row r="12" customFormat="false" ht="15" hidden="false" customHeight="false" outlineLevel="0" collapsed="false">
      <c r="A12" s="5" t="s">
        <v>36</v>
      </c>
      <c r="B12" s="5" t="s">
        <v>26</v>
      </c>
      <c r="C12" s="5" t="s">
        <v>26</v>
      </c>
      <c r="D12" s="5" t="s">
        <v>27</v>
      </c>
      <c r="E12" s="5" t="s">
        <v>21</v>
      </c>
      <c r="F12" s="5" t="s">
        <v>37</v>
      </c>
      <c r="G12" s="8" t="s">
        <v>28</v>
      </c>
      <c r="H12" s="5" t="s">
        <v>29</v>
      </c>
      <c r="I12" s="5"/>
    </row>
    <row r="13" customFormat="false" ht="15" hidden="false" customHeight="false" outlineLevel="0" collapsed="false">
      <c r="A13" s="7" t="s">
        <v>36</v>
      </c>
      <c r="B13" s="7" t="s">
        <v>26</v>
      </c>
      <c r="C13" s="7" t="s">
        <v>30</v>
      </c>
      <c r="D13" s="7" t="s">
        <v>31</v>
      </c>
      <c r="E13" s="7" t="s">
        <v>21</v>
      </c>
      <c r="F13" s="7" t="s">
        <v>37</v>
      </c>
      <c r="G13" s="8" t="s">
        <v>28</v>
      </c>
      <c r="H13" s="7" t="s">
        <v>29</v>
      </c>
      <c r="I13" s="7"/>
    </row>
    <row r="14" customFormat="false" ht="15" hidden="false" customHeight="false" outlineLevel="0" collapsed="false">
      <c r="A14" s="5" t="s">
        <v>38</v>
      </c>
      <c r="B14" s="5" t="s">
        <v>30</v>
      </c>
      <c r="C14" s="5" t="s">
        <v>19</v>
      </c>
      <c r="D14" s="5" t="s">
        <v>20</v>
      </c>
      <c r="E14" s="5" t="s">
        <v>21</v>
      </c>
      <c r="F14" s="5" t="s">
        <v>39</v>
      </c>
      <c r="G14" s="6" t="s">
        <v>23</v>
      </c>
      <c r="H14" s="5"/>
      <c r="I14" s="5" t="s">
        <v>35</v>
      </c>
    </row>
    <row r="15" customFormat="false" ht="15" hidden="false" customHeight="false" outlineLevel="0" collapsed="false">
      <c r="A15" s="7" t="s">
        <v>38</v>
      </c>
      <c r="B15" s="7" t="s">
        <v>30</v>
      </c>
      <c r="C15" s="7" t="s">
        <v>24</v>
      </c>
      <c r="D15" s="7" t="s">
        <v>25</v>
      </c>
      <c r="E15" s="7" t="s">
        <v>21</v>
      </c>
      <c r="F15" s="7" t="s">
        <v>39</v>
      </c>
      <c r="G15" s="8" t="s">
        <v>28</v>
      </c>
      <c r="H15" s="7" t="s">
        <v>29</v>
      </c>
      <c r="I15" s="7"/>
    </row>
    <row r="16" customFormat="false" ht="15" hidden="false" customHeight="false" outlineLevel="0" collapsed="false">
      <c r="A16" s="5" t="s">
        <v>38</v>
      </c>
      <c r="B16" s="5" t="s">
        <v>30</v>
      </c>
      <c r="C16" s="5" t="s">
        <v>26</v>
      </c>
      <c r="D16" s="5" t="s">
        <v>27</v>
      </c>
      <c r="E16" s="5" t="s">
        <v>21</v>
      </c>
      <c r="F16" s="5" t="s">
        <v>39</v>
      </c>
      <c r="G16" s="8" t="s">
        <v>28</v>
      </c>
      <c r="H16" s="5" t="s">
        <v>29</v>
      </c>
      <c r="I16" s="5"/>
    </row>
    <row r="17" customFormat="false" ht="15" hidden="false" customHeight="false" outlineLevel="0" collapsed="false">
      <c r="A17" s="7" t="s">
        <v>38</v>
      </c>
      <c r="B17" s="7" t="s">
        <v>30</v>
      </c>
      <c r="C17" s="7" t="s">
        <v>30</v>
      </c>
      <c r="D17" s="7" t="s">
        <v>31</v>
      </c>
      <c r="E17" s="7" t="s">
        <v>21</v>
      </c>
      <c r="F17" s="7" t="s">
        <v>39</v>
      </c>
      <c r="G17" s="8" t="s">
        <v>28</v>
      </c>
      <c r="H17" s="7" t="s">
        <v>29</v>
      </c>
      <c r="I17" s="7"/>
    </row>
    <row r="18" customFormat="false" ht="15" hidden="false" customHeight="false" outlineLevel="0" collapsed="false">
      <c r="A18" s="5" t="s">
        <v>40</v>
      </c>
      <c r="B18" s="5" t="s">
        <v>41</v>
      </c>
      <c r="C18" s="5" t="s">
        <v>19</v>
      </c>
      <c r="D18" s="5" t="s">
        <v>20</v>
      </c>
      <c r="E18" s="5" t="s">
        <v>21</v>
      </c>
      <c r="F18" s="5" t="s">
        <v>42</v>
      </c>
      <c r="G18" s="6" t="s">
        <v>23</v>
      </c>
      <c r="H18" s="5"/>
      <c r="I18" s="5"/>
    </row>
    <row r="19" customFormat="false" ht="15" hidden="false" customHeight="false" outlineLevel="0" collapsed="false">
      <c r="A19" s="7" t="s">
        <v>40</v>
      </c>
      <c r="B19" s="7" t="s">
        <v>41</v>
      </c>
      <c r="C19" s="7" t="s">
        <v>24</v>
      </c>
      <c r="D19" s="7" t="s">
        <v>25</v>
      </c>
      <c r="E19" s="7" t="s">
        <v>21</v>
      </c>
      <c r="F19" s="7" t="s">
        <v>42</v>
      </c>
      <c r="G19" s="6" t="s">
        <v>23</v>
      </c>
      <c r="H19" s="7"/>
      <c r="I19" s="7" t="s">
        <v>32</v>
      </c>
    </row>
    <row r="20" customFormat="false" ht="15" hidden="false" customHeight="false" outlineLevel="0" collapsed="false">
      <c r="A20" s="5" t="s">
        <v>40</v>
      </c>
      <c r="B20" s="5" t="s">
        <v>41</v>
      </c>
      <c r="C20" s="5" t="s">
        <v>26</v>
      </c>
      <c r="D20" s="5" t="s">
        <v>27</v>
      </c>
      <c r="E20" s="5" t="s">
        <v>21</v>
      </c>
      <c r="F20" s="5" t="s">
        <v>42</v>
      </c>
      <c r="G20" s="8" t="s">
        <v>28</v>
      </c>
      <c r="H20" s="5" t="s">
        <v>29</v>
      </c>
      <c r="I20" s="5"/>
    </row>
    <row r="21" customFormat="false" ht="15" hidden="false" customHeight="false" outlineLevel="0" collapsed="false">
      <c r="A21" s="7" t="s">
        <v>40</v>
      </c>
      <c r="B21" s="7" t="s">
        <v>41</v>
      </c>
      <c r="C21" s="7" t="s">
        <v>30</v>
      </c>
      <c r="D21" s="7" t="s">
        <v>31</v>
      </c>
      <c r="E21" s="7" t="s">
        <v>21</v>
      </c>
      <c r="F21" s="7" t="s">
        <v>42</v>
      </c>
      <c r="G21" s="8" t="s">
        <v>28</v>
      </c>
      <c r="H21" s="7" t="s">
        <v>29</v>
      </c>
      <c r="I21" s="7"/>
    </row>
    <row r="22" customFormat="false" ht="15" hidden="false" customHeight="false" outlineLevel="0" collapsed="false">
      <c r="A22" s="5" t="s">
        <v>43</v>
      </c>
      <c r="B22" s="5" t="s">
        <v>44</v>
      </c>
      <c r="C22" s="5" t="s">
        <v>19</v>
      </c>
      <c r="D22" s="5" t="s">
        <v>20</v>
      </c>
      <c r="E22" s="5" t="s">
        <v>21</v>
      </c>
      <c r="F22" s="5" t="s">
        <v>45</v>
      </c>
      <c r="G22" s="8" t="s">
        <v>28</v>
      </c>
      <c r="H22" s="5" t="s">
        <v>29</v>
      </c>
      <c r="I22" s="5"/>
    </row>
    <row r="23" customFormat="false" ht="15" hidden="false" customHeight="false" outlineLevel="0" collapsed="false">
      <c r="A23" s="7" t="s">
        <v>43</v>
      </c>
      <c r="B23" s="7" t="s">
        <v>44</v>
      </c>
      <c r="C23" s="7" t="s">
        <v>24</v>
      </c>
      <c r="D23" s="7" t="s">
        <v>25</v>
      </c>
      <c r="E23" s="7" t="s">
        <v>21</v>
      </c>
      <c r="F23" s="7" t="s">
        <v>45</v>
      </c>
      <c r="G23" s="6" t="s">
        <v>23</v>
      </c>
      <c r="H23" s="7"/>
      <c r="I23" s="7"/>
    </row>
    <row r="24" customFormat="false" ht="15" hidden="false" customHeight="false" outlineLevel="0" collapsed="false">
      <c r="A24" s="5" t="s">
        <v>43</v>
      </c>
      <c r="B24" s="5" t="s">
        <v>44</v>
      </c>
      <c r="C24" s="5" t="s">
        <v>26</v>
      </c>
      <c r="D24" s="5" t="s">
        <v>27</v>
      </c>
      <c r="E24" s="5" t="s">
        <v>21</v>
      </c>
      <c r="F24" s="5" t="s">
        <v>45</v>
      </c>
      <c r="G24" s="8" t="s">
        <v>28</v>
      </c>
      <c r="H24" s="5" t="s">
        <v>29</v>
      </c>
      <c r="I24" s="5"/>
    </row>
    <row r="25" customFormat="false" ht="15" hidden="false" customHeight="false" outlineLevel="0" collapsed="false">
      <c r="A25" s="7" t="s">
        <v>43</v>
      </c>
      <c r="B25" s="7" t="s">
        <v>44</v>
      </c>
      <c r="C25" s="7" t="s">
        <v>30</v>
      </c>
      <c r="D25" s="7" t="s">
        <v>31</v>
      </c>
      <c r="E25" s="7" t="s">
        <v>21</v>
      </c>
      <c r="F25" s="7" t="s">
        <v>45</v>
      </c>
      <c r="G25" s="8" t="s">
        <v>28</v>
      </c>
      <c r="H25" s="7" t="s">
        <v>29</v>
      </c>
      <c r="I25" s="7"/>
    </row>
    <row r="26" customFormat="false" ht="15" hidden="false" customHeight="false" outlineLevel="0" collapsed="false">
      <c r="A26" s="5" t="s">
        <v>46</v>
      </c>
      <c r="B26" s="5" t="s">
        <v>47</v>
      </c>
      <c r="C26" s="5" t="s">
        <v>19</v>
      </c>
      <c r="D26" s="5" t="s">
        <v>20</v>
      </c>
      <c r="E26" s="5" t="s">
        <v>21</v>
      </c>
      <c r="F26" s="5" t="s">
        <v>22</v>
      </c>
      <c r="G26" s="6" t="s">
        <v>23</v>
      </c>
      <c r="H26" s="5"/>
      <c r="I26" s="5" t="s">
        <v>35</v>
      </c>
    </row>
    <row r="27" customFormat="false" ht="15" hidden="false" customHeight="false" outlineLevel="0" collapsed="false">
      <c r="A27" s="7" t="s">
        <v>46</v>
      </c>
      <c r="B27" s="7" t="s">
        <v>47</v>
      </c>
      <c r="C27" s="7" t="s">
        <v>24</v>
      </c>
      <c r="D27" s="7" t="s">
        <v>25</v>
      </c>
      <c r="E27" s="7" t="s">
        <v>21</v>
      </c>
      <c r="F27" s="7" t="s">
        <v>22</v>
      </c>
      <c r="G27" s="8" t="s">
        <v>28</v>
      </c>
      <c r="H27" s="7" t="s">
        <v>29</v>
      </c>
      <c r="I27" s="7"/>
    </row>
    <row r="28" customFormat="false" ht="15" hidden="false" customHeight="false" outlineLevel="0" collapsed="false">
      <c r="A28" s="5" t="s">
        <v>46</v>
      </c>
      <c r="B28" s="5" t="s">
        <v>47</v>
      </c>
      <c r="C28" s="5" t="s">
        <v>26</v>
      </c>
      <c r="D28" s="5" t="s">
        <v>27</v>
      </c>
      <c r="E28" s="5" t="s">
        <v>21</v>
      </c>
      <c r="F28" s="5" t="s">
        <v>22</v>
      </c>
      <c r="G28" s="8" t="s">
        <v>28</v>
      </c>
      <c r="H28" s="5" t="s">
        <v>29</v>
      </c>
      <c r="I28" s="5"/>
    </row>
    <row r="29" customFormat="false" ht="15" hidden="false" customHeight="false" outlineLevel="0" collapsed="false">
      <c r="A29" s="7" t="s">
        <v>46</v>
      </c>
      <c r="B29" s="7" t="s">
        <v>47</v>
      </c>
      <c r="C29" s="7" t="s">
        <v>30</v>
      </c>
      <c r="D29" s="7" t="s">
        <v>31</v>
      </c>
      <c r="E29" s="7" t="s">
        <v>21</v>
      </c>
      <c r="F29" s="7" t="s">
        <v>22</v>
      </c>
      <c r="G29" s="8" t="s">
        <v>28</v>
      </c>
      <c r="H29" s="7" t="s">
        <v>29</v>
      </c>
      <c r="I29" s="7"/>
    </row>
    <row r="30" customFormat="false" ht="15" hidden="false" customHeight="false" outlineLevel="0" collapsed="false">
      <c r="A30" s="5" t="s">
        <v>48</v>
      </c>
      <c r="B30" s="5" t="s">
        <v>49</v>
      </c>
      <c r="C30" s="5" t="s">
        <v>19</v>
      </c>
      <c r="D30" s="5" t="s">
        <v>20</v>
      </c>
      <c r="E30" s="5" t="s">
        <v>21</v>
      </c>
      <c r="F30" s="5" t="s">
        <v>34</v>
      </c>
      <c r="G30" s="8" t="s">
        <v>28</v>
      </c>
      <c r="H30" s="5" t="s">
        <v>29</v>
      </c>
      <c r="I30" s="5"/>
    </row>
    <row r="31" customFormat="false" ht="15" hidden="false" customHeight="false" outlineLevel="0" collapsed="false">
      <c r="A31" s="7" t="s">
        <v>48</v>
      </c>
      <c r="B31" s="7" t="s">
        <v>49</v>
      </c>
      <c r="C31" s="7" t="s">
        <v>24</v>
      </c>
      <c r="D31" s="7" t="s">
        <v>25</v>
      </c>
      <c r="E31" s="7" t="s">
        <v>21</v>
      </c>
      <c r="F31" s="7" t="s">
        <v>34</v>
      </c>
      <c r="G31" s="6" t="s">
        <v>23</v>
      </c>
      <c r="H31" s="7"/>
      <c r="I31" s="7"/>
    </row>
    <row r="32" customFormat="false" ht="15" hidden="false" customHeight="false" outlineLevel="0" collapsed="false">
      <c r="A32" s="5" t="s">
        <v>48</v>
      </c>
      <c r="B32" s="5" t="s">
        <v>49</v>
      </c>
      <c r="C32" s="5" t="s">
        <v>26</v>
      </c>
      <c r="D32" s="5" t="s">
        <v>27</v>
      </c>
      <c r="E32" s="5" t="s">
        <v>21</v>
      </c>
      <c r="F32" s="5" t="s">
        <v>34</v>
      </c>
      <c r="G32" s="8" t="s">
        <v>28</v>
      </c>
      <c r="H32" s="5" t="s">
        <v>29</v>
      </c>
      <c r="I32" s="5"/>
    </row>
    <row r="33" customFormat="false" ht="15" hidden="false" customHeight="false" outlineLevel="0" collapsed="false">
      <c r="A33" s="7" t="s">
        <v>48</v>
      </c>
      <c r="B33" s="7" t="s">
        <v>49</v>
      </c>
      <c r="C33" s="7" t="s">
        <v>30</v>
      </c>
      <c r="D33" s="7" t="s">
        <v>31</v>
      </c>
      <c r="E33" s="7" t="s">
        <v>21</v>
      </c>
      <c r="F33" s="7" t="s">
        <v>34</v>
      </c>
      <c r="G33" s="6" t="s">
        <v>23</v>
      </c>
      <c r="H33" s="7"/>
      <c r="I33" s="7" t="s">
        <v>35</v>
      </c>
    </row>
    <row r="34" customFormat="false" ht="15" hidden="false" customHeight="false" outlineLevel="0" collapsed="false">
      <c r="A34" s="5" t="s">
        <v>50</v>
      </c>
      <c r="B34" s="5" t="s">
        <v>51</v>
      </c>
      <c r="C34" s="5" t="s">
        <v>19</v>
      </c>
      <c r="D34" s="5" t="s">
        <v>20</v>
      </c>
      <c r="E34" s="5" t="s">
        <v>21</v>
      </c>
      <c r="F34" s="5" t="s">
        <v>37</v>
      </c>
      <c r="G34" s="6" t="s">
        <v>23</v>
      </c>
      <c r="H34" s="5"/>
      <c r="I34" s="5"/>
    </row>
    <row r="35" customFormat="false" ht="15" hidden="false" customHeight="false" outlineLevel="0" collapsed="false">
      <c r="A35" s="7" t="s">
        <v>50</v>
      </c>
      <c r="B35" s="7" t="s">
        <v>51</v>
      </c>
      <c r="C35" s="7" t="s">
        <v>24</v>
      </c>
      <c r="D35" s="7" t="s">
        <v>25</v>
      </c>
      <c r="E35" s="7" t="s">
        <v>21</v>
      </c>
      <c r="F35" s="7" t="s">
        <v>37</v>
      </c>
      <c r="G35" s="8" t="s">
        <v>28</v>
      </c>
      <c r="H35" s="7" t="s">
        <v>29</v>
      </c>
      <c r="I35" s="7"/>
    </row>
    <row r="36" customFormat="false" ht="15" hidden="false" customHeight="false" outlineLevel="0" collapsed="false">
      <c r="A36" s="5" t="s">
        <v>50</v>
      </c>
      <c r="B36" s="5" t="s">
        <v>51</v>
      </c>
      <c r="C36" s="5" t="s">
        <v>26</v>
      </c>
      <c r="D36" s="5" t="s">
        <v>27</v>
      </c>
      <c r="E36" s="5" t="s">
        <v>21</v>
      </c>
      <c r="F36" s="5" t="s">
        <v>37</v>
      </c>
      <c r="G36" s="6" t="s">
        <v>23</v>
      </c>
      <c r="H36" s="5"/>
      <c r="I36" s="5"/>
    </row>
    <row r="37" customFormat="false" ht="15" hidden="false" customHeight="false" outlineLevel="0" collapsed="false">
      <c r="A37" s="7" t="s">
        <v>50</v>
      </c>
      <c r="B37" s="7" t="s">
        <v>51</v>
      </c>
      <c r="C37" s="7" t="s">
        <v>30</v>
      </c>
      <c r="D37" s="7" t="s">
        <v>31</v>
      </c>
      <c r="E37" s="7" t="s">
        <v>21</v>
      </c>
      <c r="F37" s="7" t="s">
        <v>37</v>
      </c>
      <c r="G37" s="6" t="s">
        <v>23</v>
      </c>
      <c r="H37" s="7"/>
      <c r="I37" s="7"/>
    </row>
    <row r="38" customFormat="false" ht="15" hidden="false" customHeight="false" outlineLevel="0" collapsed="false">
      <c r="A38" s="5" t="s">
        <v>52</v>
      </c>
      <c r="B38" s="5" t="s">
        <v>53</v>
      </c>
      <c r="C38" s="5" t="s">
        <v>19</v>
      </c>
      <c r="D38" s="5" t="s">
        <v>20</v>
      </c>
      <c r="E38" s="5" t="s">
        <v>21</v>
      </c>
      <c r="F38" s="5" t="s">
        <v>39</v>
      </c>
      <c r="G38" s="8" t="s">
        <v>28</v>
      </c>
      <c r="H38" s="5" t="s">
        <v>29</v>
      </c>
      <c r="I38" s="5"/>
    </row>
    <row r="39" customFormat="false" ht="15" hidden="false" customHeight="false" outlineLevel="0" collapsed="false">
      <c r="A39" s="7" t="s">
        <v>52</v>
      </c>
      <c r="B39" s="7" t="s">
        <v>53</v>
      </c>
      <c r="C39" s="7" t="s">
        <v>24</v>
      </c>
      <c r="D39" s="7" t="s">
        <v>25</v>
      </c>
      <c r="E39" s="7" t="s">
        <v>21</v>
      </c>
      <c r="F39" s="7" t="s">
        <v>39</v>
      </c>
      <c r="G39" s="8" t="s">
        <v>28</v>
      </c>
      <c r="H39" s="7" t="s">
        <v>29</v>
      </c>
      <c r="I39" s="7"/>
    </row>
    <row r="40" customFormat="false" ht="15" hidden="false" customHeight="false" outlineLevel="0" collapsed="false">
      <c r="A40" s="5" t="s">
        <v>52</v>
      </c>
      <c r="B40" s="5" t="s">
        <v>53</v>
      </c>
      <c r="C40" s="5" t="s">
        <v>26</v>
      </c>
      <c r="D40" s="5" t="s">
        <v>27</v>
      </c>
      <c r="E40" s="5" t="s">
        <v>21</v>
      </c>
      <c r="F40" s="5" t="s">
        <v>39</v>
      </c>
      <c r="G40" s="8" t="s">
        <v>28</v>
      </c>
      <c r="H40" s="5" t="s">
        <v>29</v>
      </c>
      <c r="I40" s="5"/>
    </row>
    <row r="41" customFormat="false" ht="15" hidden="false" customHeight="false" outlineLevel="0" collapsed="false">
      <c r="A41" s="7" t="s">
        <v>54</v>
      </c>
      <c r="B41" s="7" t="s">
        <v>55</v>
      </c>
      <c r="C41" s="7" t="s">
        <v>19</v>
      </c>
      <c r="D41" s="7" t="s">
        <v>20</v>
      </c>
      <c r="E41" s="7" t="s">
        <v>21</v>
      </c>
      <c r="F41" s="7" t="s">
        <v>42</v>
      </c>
      <c r="G41" s="8" t="s">
        <v>28</v>
      </c>
      <c r="H41" s="7" t="s">
        <v>29</v>
      </c>
      <c r="I41" s="7"/>
    </row>
    <row r="42" customFormat="false" ht="15" hidden="false" customHeight="false" outlineLevel="0" collapsed="false">
      <c r="A42" s="5" t="s">
        <v>54</v>
      </c>
      <c r="B42" s="5" t="s">
        <v>55</v>
      </c>
      <c r="C42" s="5" t="s">
        <v>24</v>
      </c>
      <c r="D42" s="5" t="s">
        <v>25</v>
      </c>
      <c r="E42" s="5" t="s">
        <v>21</v>
      </c>
      <c r="F42" s="5" t="s">
        <v>42</v>
      </c>
      <c r="G42" s="8" t="s">
        <v>28</v>
      </c>
      <c r="H42" s="5" t="s">
        <v>29</v>
      </c>
      <c r="I42" s="5"/>
    </row>
    <row r="43" customFormat="false" ht="15" hidden="false" customHeight="false" outlineLevel="0" collapsed="false">
      <c r="A43" s="7" t="s">
        <v>54</v>
      </c>
      <c r="B43" s="7" t="s">
        <v>55</v>
      </c>
      <c r="C43" s="7" t="s">
        <v>26</v>
      </c>
      <c r="D43" s="7" t="s">
        <v>27</v>
      </c>
      <c r="E43" s="7" t="s">
        <v>21</v>
      </c>
      <c r="F43" s="7" t="s">
        <v>42</v>
      </c>
      <c r="G43" s="6" t="s">
        <v>23</v>
      </c>
      <c r="H43" s="7"/>
      <c r="I43" s="7"/>
    </row>
    <row r="44" customFormat="false" ht="15" hidden="false" customHeight="false" outlineLevel="0" collapsed="false">
      <c r="A44" s="5" t="s">
        <v>56</v>
      </c>
      <c r="B44" s="5" t="s">
        <v>57</v>
      </c>
      <c r="C44" s="5" t="s">
        <v>19</v>
      </c>
      <c r="D44" s="5" t="s">
        <v>20</v>
      </c>
      <c r="E44" s="5" t="s">
        <v>21</v>
      </c>
      <c r="F44" s="5" t="s">
        <v>45</v>
      </c>
      <c r="G44" s="8" t="s">
        <v>28</v>
      </c>
      <c r="H44" s="5" t="s">
        <v>29</v>
      </c>
      <c r="I44" s="5"/>
    </row>
    <row r="45" customFormat="false" ht="15" hidden="false" customHeight="false" outlineLevel="0" collapsed="false">
      <c r="A45" s="7" t="s">
        <v>56</v>
      </c>
      <c r="B45" s="7" t="s">
        <v>57</v>
      </c>
      <c r="C45" s="7" t="s">
        <v>24</v>
      </c>
      <c r="D45" s="7" t="s">
        <v>25</v>
      </c>
      <c r="E45" s="7" t="s">
        <v>21</v>
      </c>
      <c r="F45" s="7" t="s">
        <v>45</v>
      </c>
      <c r="G45" s="8" t="s">
        <v>28</v>
      </c>
      <c r="H45" s="7" t="s">
        <v>29</v>
      </c>
      <c r="I45" s="7"/>
    </row>
    <row r="46" customFormat="false" ht="15" hidden="false" customHeight="false" outlineLevel="0" collapsed="false">
      <c r="A46" s="5" t="s">
        <v>56</v>
      </c>
      <c r="B46" s="5" t="s">
        <v>57</v>
      </c>
      <c r="C46" s="5" t="s">
        <v>26</v>
      </c>
      <c r="D46" s="5" t="s">
        <v>27</v>
      </c>
      <c r="E46" s="5" t="s">
        <v>21</v>
      </c>
      <c r="F46" s="5" t="s">
        <v>45</v>
      </c>
      <c r="G46" s="6" t="s">
        <v>23</v>
      </c>
      <c r="H46" s="5"/>
      <c r="I46" s="5" t="s">
        <v>32</v>
      </c>
    </row>
    <row r="47" customFormat="false" ht="15" hidden="false" customHeight="false" outlineLevel="0" collapsed="false">
      <c r="A47" s="7" t="s">
        <v>56</v>
      </c>
      <c r="B47" s="7" t="s">
        <v>57</v>
      </c>
      <c r="C47" s="7" t="s">
        <v>30</v>
      </c>
      <c r="D47" s="7" t="s">
        <v>31</v>
      </c>
      <c r="E47" s="7" t="s">
        <v>21</v>
      </c>
      <c r="F47" s="7" t="s">
        <v>45</v>
      </c>
      <c r="G47" s="6" t="s">
        <v>23</v>
      </c>
      <c r="H47" s="7"/>
      <c r="I47" s="7" t="s">
        <v>32</v>
      </c>
    </row>
    <row r="48" customFormat="false" ht="15" hidden="false" customHeight="false" outlineLevel="0" collapsed="false">
      <c r="A48" s="5" t="s">
        <v>58</v>
      </c>
      <c r="B48" s="5" t="s">
        <v>59</v>
      </c>
      <c r="C48" s="5" t="s">
        <v>19</v>
      </c>
      <c r="D48" s="5" t="s">
        <v>20</v>
      </c>
      <c r="E48" s="5" t="s">
        <v>21</v>
      </c>
      <c r="F48" s="5" t="s">
        <v>22</v>
      </c>
      <c r="G48" s="8" t="s">
        <v>28</v>
      </c>
      <c r="H48" s="5" t="s">
        <v>29</v>
      </c>
      <c r="I48" s="5"/>
    </row>
    <row r="49" customFormat="false" ht="15" hidden="false" customHeight="false" outlineLevel="0" collapsed="false">
      <c r="A49" s="7" t="s">
        <v>58</v>
      </c>
      <c r="B49" s="7" t="s">
        <v>59</v>
      </c>
      <c r="C49" s="7" t="s">
        <v>24</v>
      </c>
      <c r="D49" s="7" t="s">
        <v>25</v>
      </c>
      <c r="E49" s="7" t="s">
        <v>21</v>
      </c>
      <c r="F49" s="7" t="s">
        <v>22</v>
      </c>
      <c r="G49" s="6" t="s">
        <v>23</v>
      </c>
      <c r="H49" s="7"/>
      <c r="I49" s="7" t="s">
        <v>35</v>
      </c>
    </row>
    <row r="50" customFormat="false" ht="15" hidden="false" customHeight="false" outlineLevel="0" collapsed="false">
      <c r="A50" s="5" t="s">
        <v>58</v>
      </c>
      <c r="B50" s="5" t="s">
        <v>59</v>
      </c>
      <c r="C50" s="5" t="s">
        <v>26</v>
      </c>
      <c r="D50" s="5" t="s">
        <v>27</v>
      </c>
      <c r="E50" s="5" t="s">
        <v>21</v>
      </c>
      <c r="F50" s="5" t="s">
        <v>22</v>
      </c>
      <c r="G50" s="6" t="s">
        <v>23</v>
      </c>
      <c r="H50" s="5"/>
      <c r="I50" s="5"/>
    </row>
    <row r="51" customFormat="false" ht="15" hidden="false" customHeight="false" outlineLevel="0" collapsed="false">
      <c r="A51" s="7" t="s">
        <v>58</v>
      </c>
      <c r="B51" s="7" t="s">
        <v>59</v>
      </c>
      <c r="C51" s="7" t="s">
        <v>30</v>
      </c>
      <c r="D51" s="7" t="s">
        <v>31</v>
      </c>
      <c r="E51" s="7" t="s">
        <v>21</v>
      </c>
      <c r="F51" s="7" t="s">
        <v>22</v>
      </c>
      <c r="G51" s="8" t="s">
        <v>28</v>
      </c>
      <c r="H51" s="7" t="s">
        <v>29</v>
      </c>
      <c r="I51" s="7"/>
    </row>
    <row r="52" customFormat="false" ht="15" hidden="false" customHeight="false" outlineLevel="0" collapsed="false">
      <c r="A52" s="5" t="s">
        <v>60</v>
      </c>
      <c r="B52" s="5" t="s">
        <v>61</v>
      </c>
      <c r="C52" s="5" t="s">
        <v>19</v>
      </c>
      <c r="D52" s="5" t="s">
        <v>20</v>
      </c>
      <c r="E52" s="5" t="s">
        <v>21</v>
      </c>
      <c r="F52" s="5" t="s">
        <v>34</v>
      </c>
      <c r="G52" s="8" t="s">
        <v>28</v>
      </c>
      <c r="H52" s="5" t="s">
        <v>29</v>
      </c>
      <c r="I52" s="5"/>
    </row>
    <row r="53" customFormat="false" ht="15" hidden="false" customHeight="false" outlineLevel="0" collapsed="false">
      <c r="A53" s="7" t="s">
        <v>60</v>
      </c>
      <c r="B53" s="7" t="s">
        <v>61</v>
      </c>
      <c r="C53" s="7" t="s">
        <v>24</v>
      </c>
      <c r="D53" s="7" t="s">
        <v>25</v>
      </c>
      <c r="E53" s="7" t="s">
        <v>21</v>
      </c>
      <c r="F53" s="7" t="s">
        <v>34</v>
      </c>
      <c r="G53" s="6" t="s">
        <v>23</v>
      </c>
      <c r="H53" s="7"/>
      <c r="I53" s="7" t="s">
        <v>32</v>
      </c>
    </row>
    <row r="54" customFormat="false" ht="15" hidden="false" customHeight="false" outlineLevel="0" collapsed="false">
      <c r="A54" s="5" t="s">
        <v>60</v>
      </c>
      <c r="B54" s="5" t="s">
        <v>61</v>
      </c>
      <c r="C54" s="5" t="s">
        <v>26</v>
      </c>
      <c r="D54" s="5" t="s">
        <v>27</v>
      </c>
      <c r="E54" s="5" t="s">
        <v>21</v>
      </c>
      <c r="F54" s="5" t="s">
        <v>34</v>
      </c>
      <c r="G54" s="8" t="s">
        <v>28</v>
      </c>
      <c r="H54" s="5" t="s">
        <v>29</v>
      </c>
      <c r="I54" s="5"/>
    </row>
    <row r="55" customFormat="false" ht="15" hidden="false" customHeight="false" outlineLevel="0" collapsed="false">
      <c r="A55" s="7" t="s">
        <v>60</v>
      </c>
      <c r="B55" s="7" t="s">
        <v>61</v>
      </c>
      <c r="C55" s="7" t="s">
        <v>30</v>
      </c>
      <c r="D55" s="7" t="s">
        <v>31</v>
      </c>
      <c r="E55" s="7" t="s">
        <v>21</v>
      </c>
      <c r="F55" s="7" t="s">
        <v>34</v>
      </c>
      <c r="G55" s="6" t="s">
        <v>23</v>
      </c>
      <c r="H55" s="7"/>
      <c r="I55" s="7"/>
    </row>
    <row r="56" customFormat="false" ht="15" hidden="false" customHeight="false" outlineLevel="0" collapsed="false">
      <c r="A56" s="5" t="s">
        <v>62</v>
      </c>
      <c r="B56" s="5" t="s">
        <v>63</v>
      </c>
      <c r="C56" s="5" t="s">
        <v>19</v>
      </c>
      <c r="D56" s="5" t="s">
        <v>20</v>
      </c>
      <c r="E56" s="5" t="s">
        <v>21</v>
      </c>
      <c r="F56" s="5" t="s">
        <v>37</v>
      </c>
      <c r="G56" s="6" t="s">
        <v>23</v>
      </c>
      <c r="H56" s="5"/>
      <c r="I56" s="5"/>
    </row>
    <row r="57" customFormat="false" ht="15" hidden="false" customHeight="false" outlineLevel="0" collapsed="false">
      <c r="A57" s="7" t="s">
        <v>62</v>
      </c>
      <c r="B57" s="7" t="s">
        <v>63</v>
      </c>
      <c r="C57" s="7" t="s">
        <v>24</v>
      </c>
      <c r="D57" s="7" t="s">
        <v>25</v>
      </c>
      <c r="E57" s="7" t="s">
        <v>21</v>
      </c>
      <c r="F57" s="7" t="s">
        <v>37</v>
      </c>
      <c r="G57" s="8" t="s">
        <v>28</v>
      </c>
      <c r="H57" s="7" t="s">
        <v>29</v>
      </c>
      <c r="I57" s="7"/>
    </row>
    <row r="58" customFormat="false" ht="15" hidden="false" customHeight="false" outlineLevel="0" collapsed="false">
      <c r="A58" s="5" t="s">
        <v>62</v>
      </c>
      <c r="B58" s="5" t="s">
        <v>63</v>
      </c>
      <c r="C58" s="5" t="s">
        <v>26</v>
      </c>
      <c r="D58" s="5" t="s">
        <v>27</v>
      </c>
      <c r="E58" s="5" t="s">
        <v>21</v>
      </c>
      <c r="F58" s="5" t="s">
        <v>37</v>
      </c>
      <c r="G58" s="8" t="s">
        <v>28</v>
      </c>
      <c r="H58" s="5" t="s">
        <v>29</v>
      </c>
      <c r="I58" s="5"/>
    </row>
    <row r="59" customFormat="false" ht="15" hidden="false" customHeight="false" outlineLevel="0" collapsed="false">
      <c r="A59" s="7" t="s">
        <v>62</v>
      </c>
      <c r="B59" s="7" t="s">
        <v>63</v>
      </c>
      <c r="C59" s="7" t="s">
        <v>30</v>
      </c>
      <c r="D59" s="7" t="s">
        <v>31</v>
      </c>
      <c r="E59" s="7" t="s">
        <v>21</v>
      </c>
      <c r="F59" s="7" t="s">
        <v>37</v>
      </c>
      <c r="G59" s="8" t="s">
        <v>28</v>
      </c>
      <c r="H59" s="7" t="s">
        <v>29</v>
      </c>
      <c r="I59" s="7"/>
    </row>
    <row r="60" customFormat="false" ht="15" hidden="false" customHeight="false" outlineLevel="0" collapsed="false">
      <c r="A60" s="5" t="s">
        <v>64</v>
      </c>
      <c r="B60" s="5" t="s">
        <v>65</v>
      </c>
      <c r="C60" s="5" t="s">
        <v>19</v>
      </c>
      <c r="D60" s="5" t="s">
        <v>20</v>
      </c>
      <c r="E60" s="5" t="s">
        <v>21</v>
      </c>
      <c r="F60" s="5" t="s">
        <v>39</v>
      </c>
      <c r="G60" s="8" t="s">
        <v>28</v>
      </c>
      <c r="H60" s="5" t="s">
        <v>29</v>
      </c>
      <c r="I60" s="5"/>
    </row>
    <row r="61" customFormat="false" ht="15" hidden="false" customHeight="false" outlineLevel="0" collapsed="false">
      <c r="A61" s="7" t="s">
        <v>64</v>
      </c>
      <c r="B61" s="7" t="s">
        <v>65</v>
      </c>
      <c r="C61" s="7" t="s">
        <v>24</v>
      </c>
      <c r="D61" s="7" t="s">
        <v>25</v>
      </c>
      <c r="E61" s="7" t="s">
        <v>21</v>
      </c>
      <c r="F61" s="7" t="s">
        <v>39</v>
      </c>
      <c r="G61" s="8" t="s">
        <v>28</v>
      </c>
      <c r="H61" s="7" t="s">
        <v>29</v>
      </c>
      <c r="I61" s="7"/>
    </row>
    <row r="62" customFormat="false" ht="15" hidden="false" customHeight="false" outlineLevel="0" collapsed="false">
      <c r="A62" s="5" t="s">
        <v>64</v>
      </c>
      <c r="B62" s="5" t="s">
        <v>65</v>
      </c>
      <c r="C62" s="5" t="s">
        <v>26</v>
      </c>
      <c r="D62" s="5" t="s">
        <v>27</v>
      </c>
      <c r="E62" s="5" t="s">
        <v>21</v>
      </c>
      <c r="F62" s="5" t="s">
        <v>39</v>
      </c>
      <c r="G62" s="6" t="s">
        <v>23</v>
      </c>
      <c r="H62" s="5"/>
      <c r="I62" s="5" t="s">
        <v>32</v>
      </c>
    </row>
    <row r="63" customFormat="false" ht="15" hidden="false" customHeight="false" outlineLevel="0" collapsed="false">
      <c r="A63" s="7" t="s">
        <v>64</v>
      </c>
      <c r="B63" s="7" t="s">
        <v>65</v>
      </c>
      <c r="C63" s="7" t="s">
        <v>30</v>
      </c>
      <c r="D63" s="7" t="s">
        <v>31</v>
      </c>
      <c r="E63" s="7" t="s">
        <v>21</v>
      </c>
      <c r="F63" s="7" t="s">
        <v>39</v>
      </c>
      <c r="G63" s="8" t="s">
        <v>28</v>
      </c>
      <c r="H63" s="7" t="s">
        <v>29</v>
      </c>
      <c r="I63" s="7"/>
    </row>
    <row r="64" customFormat="false" ht="15" hidden="false" customHeight="false" outlineLevel="0" collapsed="false">
      <c r="A64" s="5" t="s">
        <v>64</v>
      </c>
      <c r="B64" s="5" t="s">
        <v>65</v>
      </c>
      <c r="C64" s="5" t="s">
        <v>41</v>
      </c>
      <c r="D64" s="5" t="s">
        <v>66</v>
      </c>
      <c r="E64" s="5" t="s">
        <v>21</v>
      </c>
      <c r="F64" s="5" t="s">
        <v>39</v>
      </c>
      <c r="G64" s="6" t="s">
        <v>23</v>
      </c>
      <c r="H64" s="5"/>
      <c r="I64" s="5" t="s">
        <v>67</v>
      </c>
    </row>
    <row r="65" customFormat="false" ht="15" hidden="false" customHeight="false" outlineLevel="0" collapsed="false">
      <c r="A65" s="7" t="s">
        <v>68</v>
      </c>
      <c r="B65" s="7" t="s">
        <v>69</v>
      </c>
      <c r="C65" s="7" t="s">
        <v>19</v>
      </c>
      <c r="D65" s="7" t="s">
        <v>20</v>
      </c>
      <c r="E65" s="7" t="s">
        <v>21</v>
      </c>
      <c r="F65" s="7" t="s">
        <v>42</v>
      </c>
      <c r="G65" s="6" t="s">
        <v>23</v>
      </c>
      <c r="H65" s="7"/>
      <c r="I65" s="7" t="s">
        <v>32</v>
      </c>
    </row>
    <row r="66" customFormat="false" ht="15" hidden="false" customHeight="false" outlineLevel="0" collapsed="false">
      <c r="A66" s="5" t="s">
        <v>68</v>
      </c>
      <c r="B66" s="5" t="s">
        <v>69</v>
      </c>
      <c r="C66" s="5" t="s">
        <v>24</v>
      </c>
      <c r="D66" s="5" t="s">
        <v>25</v>
      </c>
      <c r="E66" s="5" t="s">
        <v>21</v>
      </c>
      <c r="F66" s="5" t="s">
        <v>42</v>
      </c>
      <c r="G66" s="8" t="s">
        <v>28</v>
      </c>
      <c r="H66" s="5" t="s">
        <v>29</v>
      </c>
      <c r="I66" s="5"/>
    </row>
    <row r="67" customFormat="false" ht="15" hidden="false" customHeight="false" outlineLevel="0" collapsed="false">
      <c r="A67" s="7" t="s">
        <v>68</v>
      </c>
      <c r="B67" s="7" t="s">
        <v>69</v>
      </c>
      <c r="C67" s="7" t="s">
        <v>26</v>
      </c>
      <c r="D67" s="7" t="s">
        <v>27</v>
      </c>
      <c r="E67" s="7" t="s">
        <v>21</v>
      </c>
      <c r="F67" s="7" t="s">
        <v>42</v>
      </c>
      <c r="G67" s="8" t="s">
        <v>28</v>
      </c>
      <c r="H67" s="7" t="s">
        <v>29</v>
      </c>
      <c r="I67" s="7"/>
    </row>
    <row r="68" customFormat="false" ht="15" hidden="false" customHeight="false" outlineLevel="0" collapsed="false">
      <c r="A68" s="5" t="s">
        <v>68</v>
      </c>
      <c r="B68" s="5" t="s">
        <v>69</v>
      </c>
      <c r="C68" s="5" t="s">
        <v>30</v>
      </c>
      <c r="D68" s="5" t="s">
        <v>31</v>
      </c>
      <c r="E68" s="5" t="s">
        <v>21</v>
      </c>
      <c r="F68" s="5" t="s">
        <v>42</v>
      </c>
      <c r="G68" s="8" t="s">
        <v>28</v>
      </c>
      <c r="H68" s="5" t="s">
        <v>29</v>
      </c>
      <c r="I68" s="5"/>
    </row>
    <row r="69" customFormat="false" ht="15" hidden="false" customHeight="false" outlineLevel="0" collapsed="false">
      <c r="A69" s="7" t="s">
        <v>68</v>
      </c>
      <c r="B69" s="7" t="s">
        <v>69</v>
      </c>
      <c r="C69" s="7" t="s">
        <v>41</v>
      </c>
      <c r="D69" s="7" t="s">
        <v>66</v>
      </c>
      <c r="E69" s="7" t="s">
        <v>21</v>
      </c>
      <c r="F69" s="7" t="s">
        <v>42</v>
      </c>
      <c r="G69" s="8" t="s">
        <v>28</v>
      </c>
      <c r="H69" s="7" t="s">
        <v>29</v>
      </c>
      <c r="I69" s="7"/>
    </row>
    <row r="70" customFormat="false" ht="15" hidden="false" customHeight="false" outlineLevel="0" collapsed="false">
      <c r="A70" s="5" t="s">
        <v>70</v>
      </c>
      <c r="B70" s="5" t="s">
        <v>71</v>
      </c>
      <c r="C70" s="5" t="s">
        <v>19</v>
      </c>
      <c r="D70" s="5" t="s">
        <v>20</v>
      </c>
      <c r="E70" s="5" t="s">
        <v>21</v>
      </c>
      <c r="F70" s="5" t="s">
        <v>45</v>
      </c>
      <c r="G70" s="8" t="s">
        <v>28</v>
      </c>
      <c r="H70" s="5" t="s">
        <v>29</v>
      </c>
      <c r="I70" s="5"/>
    </row>
    <row r="71" customFormat="false" ht="15" hidden="false" customHeight="false" outlineLevel="0" collapsed="false">
      <c r="A71" s="7" t="s">
        <v>70</v>
      </c>
      <c r="B71" s="7" t="s">
        <v>71</v>
      </c>
      <c r="C71" s="7" t="s">
        <v>24</v>
      </c>
      <c r="D71" s="7" t="s">
        <v>25</v>
      </c>
      <c r="E71" s="7" t="s">
        <v>21</v>
      </c>
      <c r="F71" s="7" t="s">
        <v>45</v>
      </c>
      <c r="G71" s="8" t="s">
        <v>28</v>
      </c>
      <c r="H71" s="7" t="s">
        <v>29</v>
      </c>
      <c r="I71" s="7"/>
    </row>
    <row r="72" customFormat="false" ht="15" hidden="false" customHeight="false" outlineLevel="0" collapsed="false">
      <c r="A72" s="5" t="s">
        <v>70</v>
      </c>
      <c r="B72" s="5" t="s">
        <v>71</v>
      </c>
      <c r="C72" s="5" t="s">
        <v>26</v>
      </c>
      <c r="D72" s="5" t="s">
        <v>27</v>
      </c>
      <c r="E72" s="5" t="s">
        <v>21</v>
      </c>
      <c r="F72" s="5" t="s">
        <v>45</v>
      </c>
      <c r="G72" s="6" t="s">
        <v>23</v>
      </c>
      <c r="H72" s="5"/>
      <c r="I72" s="5" t="s">
        <v>67</v>
      </c>
    </row>
    <row r="73" customFormat="false" ht="15" hidden="false" customHeight="false" outlineLevel="0" collapsed="false">
      <c r="A73" s="7" t="s">
        <v>72</v>
      </c>
      <c r="B73" s="7" t="s">
        <v>73</v>
      </c>
      <c r="C73" s="7" t="s">
        <v>19</v>
      </c>
      <c r="D73" s="7" t="s">
        <v>20</v>
      </c>
      <c r="E73" s="7" t="s">
        <v>21</v>
      </c>
      <c r="F73" s="7" t="s">
        <v>22</v>
      </c>
      <c r="G73" s="8" t="s">
        <v>28</v>
      </c>
      <c r="H73" s="7" t="s">
        <v>29</v>
      </c>
      <c r="I73" s="7"/>
    </row>
    <row r="74" customFormat="false" ht="15" hidden="false" customHeight="false" outlineLevel="0" collapsed="false">
      <c r="A74" s="5" t="s">
        <v>72</v>
      </c>
      <c r="B74" s="5" t="s">
        <v>73</v>
      </c>
      <c r="C74" s="5" t="s">
        <v>24</v>
      </c>
      <c r="D74" s="5" t="s">
        <v>25</v>
      </c>
      <c r="E74" s="5" t="s">
        <v>21</v>
      </c>
      <c r="F74" s="5" t="s">
        <v>22</v>
      </c>
      <c r="G74" s="6" t="s">
        <v>23</v>
      </c>
      <c r="H74" s="5"/>
      <c r="I74" s="5"/>
    </row>
    <row r="75" customFormat="false" ht="15" hidden="false" customHeight="false" outlineLevel="0" collapsed="false">
      <c r="A75" s="7" t="s">
        <v>72</v>
      </c>
      <c r="B75" s="7" t="s">
        <v>73</v>
      </c>
      <c r="C75" s="7" t="s">
        <v>26</v>
      </c>
      <c r="D75" s="7" t="s">
        <v>27</v>
      </c>
      <c r="E75" s="7" t="s">
        <v>21</v>
      </c>
      <c r="F75" s="7" t="s">
        <v>22</v>
      </c>
      <c r="G75" s="8" t="s">
        <v>28</v>
      </c>
      <c r="H75" s="7" t="s">
        <v>29</v>
      </c>
      <c r="I75" s="7"/>
    </row>
    <row r="76" customFormat="false" ht="15" hidden="false" customHeight="false" outlineLevel="0" collapsed="false">
      <c r="A76" s="5" t="s">
        <v>72</v>
      </c>
      <c r="B76" s="5" t="s">
        <v>73</v>
      </c>
      <c r="C76" s="5" t="s">
        <v>30</v>
      </c>
      <c r="D76" s="5" t="s">
        <v>31</v>
      </c>
      <c r="E76" s="5" t="s">
        <v>21</v>
      </c>
      <c r="F76" s="5" t="s">
        <v>22</v>
      </c>
      <c r="G76" s="8" t="s">
        <v>28</v>
      </c>
      <c r="H76" s="5" t="s">
        <v>29</v>
      </c>
      <c r="I76" s="5"/>
    </row>
    <row r="77" customFormat="false" ht="15" hidden="false" customHeight="false" outlineLevel="0" collapsed="false">
      <c r="A77" s="7" t="s">
        <v>74</v>
      </c>
      <c r="B77" s="7" t="s">
        <v>75</v>
      </c>
      <c r="C77" s="7" t="s">
        <v>19</v>
      </c>
      <c r="D77" s="7" t="s">
        <v>20</v>
      </c>
      <c r="E77" s="7" t="s">
        <v>21</v>
      </c>
      <c r="F77" s="7" t="s">
        <v>34</v>
      </c>
      <c r="G77" s="8" t="s">
        <v>28</v>
      </c>
      <c r="H77" s="7" t="s">
        <v>29</v>
      </c>
      <c r="I77" s="7"/>
    </row>
    <row r="78" customFormat="false" ht="15" hidden="false" customHeight="false" outlineLevel="0" collapsed="false">
      <c r="A78" s="5" t="s">
        <v>74</v>
      </c>
      <c r="B78" s="5" t="s">
        <v>75</v>
      </c>
      <c r="C78" s="5" t="s">
        <v>24</v>
      </c>
      <c r="D78" s="5" t="s">
        <v>25</v>
      </c>
      <c r="E78" s="5" t="s">
        <v>21</v>
      </c>
      <c r="F78" s="5" t="s">
        <v>34</v>
      </c>
      <c r="G78" s="8" t="s">
        <v>28</v>
      </c>
      <c r="H78" s="5" t="s">
        <v>29</v>
      </c>
      <c r="I78" s="5"/>
    </row>
    <row r="79" customFormat="false" ht="15" hidden="false" customHeight="false" outlineLevel="0" collapsed="false">
      <c r="A79" s="7" t="s">
        <v>74</v>
      </c>
      <c r="B79" s="7" t="s">
        <v>75</v>
      </c>
      <c r="C79" s="7" t="s">
        <v>26</v>
      </c>
      <c r="D79" s="7" t="s">
        <v>27</v>
      </c>
      <c r="E79" s="7" t="s">
        <v>21</v>
      </c>
      <c r="F79" s="7" t="s">
        <v>34</v>
      </c>
      <c r="G79" s="6" t="s">
        <v>23</v>
      </c>
      <c r="H79" s="7"/>
      <c r="I79" s="7"/>
    </row>
    <row r="80" customFormat="false" ht="15" hidden="false" customHeight="false" outlineLevel="0" collapsed="false">
      <c r="A80" s="5" t="s">
        <v>74</v>
      </c>
      <c r="B80" s="5" t="s">
        <v>75</v>
      </c>
      <c r="C80" s="5" t="s">
        <v>30</v>
      </c>
      <c r="D80" s="5" t="s">
        <v>31</v>
      </c>
      <c r="E80" s="5" t="s">
        <v>21</v>
      </c>
      <c r="F80" s="5" t="s">
        <v>34</v>
      </c>
      <c r="G80" s="6" t="s">
        <v>23</v>
      </c>
      <c r="H80" s="5"/>
      <c r="I80" s="5" t="s">
        <v>35</v>
      </c>
    </row>
    <row r="81" customFormat="false" ht="15" hidden="false" customHeight="false" outlineLevel="0" collapsed="false">
      <c r="A81" s="7" t="s">
        <v>76</v>
      </c>
      <c r="B81" s="7" t="s">
        <v>77</v>
      </c>
      <c r="C81" s="7" t="s">
        <v>19</v>
      </c>
      <c r="D81" s="7" t="s">
        <v>20</v>
      </c>
      <c r="E81" s="7" t="s">
        <v>21</v>
      </c>
      <c r="F81" s="7" t="s">
        <v>37</v>
      </c>
      <c r="G81" s="8" t="s">
        <v>28</v>
      </c>
      <c r="H81" s="7" t="s">
        <v>29</v>
      </c>
      <c r="I81" s="7"/>
    </row>
    <row r="82" customFormat="false" ht="15" hidden="false" customHeight="false" outlineLevel="0" collapsed="false">
      <c r="A82" s="5" t="s">
        <v>76</v>
      </c>
      <c r="B82" s="5" t="s">
        <v>77</v>
      </c>
      <c r="C82" s="5" t="s">
        <v>24</v>
      </c>
      <c r="D82" s="5" t="s">
        <v>25</v>
      </c>
      <c r="E82" s="5" t="s">
        <v>21</v>
      </c>
      <c r="F82" s="5" t="s">
        <v>37</v>
      </c>
      <c r="G82" s="8" t="s">
        <v>28</v>
      </c>
      <c r="H82" s="5" t="s">
        <v>29</v>
      </c>
      <c r="I82" s="5"/>
    </row>
    <row r="83" customFormat="false" ht="15" hidden="false" customHeight="false" outlineLevel="0" collapsed="false">
      <c r="A83" s="7" t="s">
        <v>76</v>
      </c>
      <c r="B83" s="7" t="s">
        <v>77</v>
      </c>
      <c r="C83" s="7" t="s">
        <v>26</v>
      </c>
      <c r="D83" s="7" t="s">
        <v>27</v>
      </c>
      <c r="E83" s="7" t="s">
        <v>21</v>
      </c>
      <c r="F83" s="7" t="s">
        <v>37</v>
      </c>
      <c r="G83" s="6" t="s">
        <v>23</v>
      </c>
      <c r="H83" s="7"/>
      <c r="I83" s="7" t="s">
        <v>35</v>
      </c>
    </row>
    <row r="84" customFormat="false" ht="15" hidden="false" customHeight="false" outlineLevel="0" collapsed="false">
      <c r="A84" s="5" t="s">
        <v>78</v>
      </c>
      <c r="B84" s="5" t="s">
        <v>79</v>
      </c>
      <c r="C84" s="5" t="s">
        <v>19</v>
      </c>
      <c r="D84" s="5" t="s">
        <v>20</v>
      </c>
      <c r="E84" s="5" t="s">
        <v>21</v>
      </c>
      <c r="F84" s="5" t="s">
        <v>39</v>
      </c>
      <c r="G84" s="8" t="s">
        <v>28</v>
      </c>
      <c r="H84" s="5" t="s">
        <v>29</v>
      </c>
      <c r="I84" s="5"/>
    </row>
    <row r="85" customFormat="false" ht="15" hidden="false" customHeight="false" outlineLevel="0" collapsed="false">
      <c r="A85" s="7" t="s">
        <v>78</v>
      </c>
      <c r="B85" s="7" t="s">
        <v>79</v>
      </c>
      <c r="C85" s="7" t="s">
        <v>24</v>
      </c>
      <c r="D85" s="7" t="s">
        <v>25</v>
      </c>
      <c r="E85" s="7" t="s">
        <v>21</v>
      </c>
      <c r="F85" s="7" t="s">
        <v>39</v>
      </c>
      <c r="G85" s="8" t="s">
        <v>28</v>
      </c>
      <c r="H85" s="7" t="s">
        <v>29</v>
      </c>
      <c r="I85" s="7"/>
    </row>
    <row r="86" customFormat="false" ht="15" hidden="false" customHeight="false" outlineLevel="0" collapsed="false">
      <c r="A86" s="5" t="s">
        <v>78</v>
      </c>
      <c r="B86" s="5" t="s">
        <v>79</v>
      </c>
      <c r="C86" s="5" t="s">
        <v>26</v>
      </c>
      <c r="D86" s="5" t="s">
        <v>27</v>
      </c>
      <c r="E86" s="5" t="s">
        <v>21</v>
      </c>
      <c r="F86" s="5" t="s">
        <v>39</v>
      </c>
      <c r="G86" s="6" t="s">
        <v>23</v>
      </c>
      <c r="H86" s="5"/>
      <c r="I86" s="5" t="s">
        <v>32</v>
      </c>
    </row>
    <row r="87" customFormat="false" ht="15" hidden="false" customHeight="false" outlineLevel="0" collapsed="false">
      <c r="A87" s="7" t="s">
        <v>78</v>
      </c>
      <c r="B87" s="7" t="s">
        <v>79</v>
      </c>
      <c r="C87" s="7" t="s">
        <v>30</v>
      </c>
      <c r="D87" s="7" t="s">
        <v>31</v>
      </c>
      <c r="E87" s="7" t="s">
        <v>21</v>
      </c>
      <c r="F87" s="7" t="s">
        <v>39</v>
      </c>
      <c r="G87" s="6" t="s">
        <v>23</v>
      </c>
      <c r="H87" s="7"/>
      <c r="I87" s="7" t="s">
        <v>32</v>
      </c>
    </row>
    <row r="88" customFormat="false" ht="15" hidden="false" customHeight="false" outlineLevel="0" collapsed="false">
      <c r="A88" s="5" t="s">
        <v>80</v>
      </c>
      <c r="B88" s="5" t="s">
        <v>81</v>
      </c>
      <c r="C88" s="5" t="s">
        <v>19</v>
      </c>
      <c r="D88" s="5" t="s">
        <v>20</v>
      </c>
      <c r="E88" s="5" t="s">
        <v>21</v>
      </c>
      <c r="F88" s="5" t="s">
        <v>42</v>
      </c>
      <c r="G88" s="6" t="s">
        <v>23</v>
      </c>
      <c r="H88" s="5"/>
      <c r="I88" s="5"/>
    </row>
    <row r="89" customFormat="false" ht="15" hidden="false" customHeight="false" outlineLevel="0" collapsed="false">
      <c r="A89" s="7" t="s">
        <v>80</v>
      </c>
      <c r="B89" s="7" t="s">
        <v>81</v>
      </c>
      <c r="C89" s="7" t="s">
        <v>24</v>
      </c>
      <c r="D89" s="7" t="s">
        <v>25</v>
      </c>
      <c r="E89" s="7" t="s">
        <v>21</v>
      </c>
      <c r="F89" s="7" t="s">
        <v>42</v>
      </c>
      <c r="G89" s="8" t="s">
        <v>28</v>
      </c>
      <c r="H89" s="7" t="s">
        <v>29</v>
      </c>
      <c r="I89" s="7"/>
    </row>
    <row r="90" customFormat="false" ht="15" hidden="false" customHeight="false" outlineLevel="0" collapsed="false">
      <c r="A90" s="5" t="s">
        <v>80</v>
      </c>
      <c r="B90" s="5" t="s">
        <v>81</v>
      </c>
      <c r="C90" s="5" t="s">
        <v>26</v>
      </c>
      <c r="D90" s="5" t="s">
        <v>27</v>
      </c>
      <c r="E90" s="5" t="s">
        <v>21</v>
      </c>
      <c r="F90" s="5" t="s">
        <v>42</v>
      </c>
      <c r="G90" s="6" t="s">
        <v>23</v>
      </c>
      <c r="H90" s="5"/>
      <c r="I90" s="5"/>
    </row>
    <row r="91" customFormat="false" ht="15" hidden="false" customHeight="false" outlineLevel="0" collapsed="false">
      <c r="A91" s="7" t="s">
        <v>80</v>
      </c>
      <c r="B91" s="7" t="s">
        <v>81</v>
      </c>
      <c r="C91" s="7" t="s">
        <v>30</v>
      </c>
      <c r="D91" s="7" t="s">
        <v>31</v>
      </c>
      <c r="E91" s="7" t="s">
        <v>21</v>
      </c>
      <c r="F91" s="7" t="s">
        <v>42</v>
      </c>
      <c r="G91" s="8" t="s">
        <v>28</v>
      </c>
      <c r="H91" s="7" t="s">
        <v>29</v>
      </c>
      <c r="I91" s="7"/>
    </row>
    <row r="92" customFormat="false" ht="15" hidden="false" customHeight="false" outlineLevel="0" collapsed="false">
      <c r="A92" s="5" t="s">
        <v>82</v>
      </c>
      <c r="B92" s="5" t="s">
        <v>83</v>
      </c>
      <c r="C92" s="5" t="s">
        <v>19</v>
      </c>
      <c r="D92" s="5" t="s">
        <v>20</v>
      </c>
      <c r="E92" s="5" t="s">
        <v>21</v>
      </c>
      <c r="F92" s="5" t="s">
        <v>45</v>
      </c>
      <c r="G92" s="8" t="s">
        <v>28</v>
      </c>
      <c r="H92" s="5" t="s">
        <v>29</v>
      </c>
      <c r="I92" s="5"/>
    </row>
    <row r="93" customFormat="false" ht="15" hidden="false" customHeight="false" outlineLevel="0" collapsed="false">
      <c r="A93" s="7" t="s">
        <v>82</v>
      </c>
      <c r="B93" s="7" t="s">
        <v>83</v>
      </c>
      <c r="C93" s="7" t="s">
        <v>24</v>
      </c>
      <c r="D93" s="7" t="s">
        <v>25</v>
      </c>
      <c r="E93" s="7" t="s">
        <v>21</v>
      </c>
      <c r="F93" s="7" t="s">
        <v>45</v>
      </c>
      <c r="G93" s="8" t="s">
        <v>28</v>
      </c>
      <c r="H93" s="7" t="s">
        <v>29</v>
      </c>
      <c r="I93" s="7"/>
    </row>
    <row r="94" customFormat="false" ht="15" hidden="false" customHeight="false" outlineLevel="0" collapsed="false">
      <c r="A94" s="5" t="s">
        <v>82</v>
      </c>
      <c r="B94" s="5" t="s">
        <v>83</v>
      </c>
      <c r="C94" s="5" t="s">
        <v>26</v>
      </c>
      <c r="D94" s="5" t="s">
        <v>27</v>
      </c>
      <c r="E94" s="5" t="s">
        <v>21</v>
      </c>
      <c r="F94" s="5" t="s">
        <v>45</v>
      </c>
      <c r="G94" s="6" t="s">
        <v>23</v>
      </c>
      <c r="H94" s="5"/>
      <c r="I94" s="5" t="s">
        <v>32</v>
      </c>
    </row>
    <row r="95" customFormat="false" ht="15" hidden="false" customHeight="false" outlineLevel="0" collapsed="false">
      <c r="A95" s="7" t="s">
        <v>82</v>
      </c>
      <c r="B95" s="7" t="s">
        <v>83</v>
      </c>
      <c r="C95" s="7" t="s">
        <v>30</v>
      </c>
      <c r="D95" s="7" t="s">
        <v>31</v>
      </c>
      <c r="E95" s="7" t="s">
        <v>21</v>
      </c>
      <c r="F95" s="7" t="s">
        <v>45</v>
      </c>
      <c r="G95" s="8" t="s">
        <v>28</v>
      </c>
      <c r="H95" s="7" t="s">
        <v>29</v>
      </c>
      <c r="I95" s="7"/>
    </row>
    <row r="96" customFormat="false" ht="15" hidden="false" customHeight="false" outlineLevel="0" collapsed="false">
      <c r="A96" s="5" t="s">
        <v>84</v>
      </c>
      <c r="B96" s="5" t="s">
        <v>85</v>
      </c>
      <c r="C96" s="5" t="s">
        <v>19</v>
      </c>
      <c r="D96" s="5" t="s">
        <v>20</v>
      </c>
      <c r="E96" s="5" t="s">
        <v>21</v>
      </c>
      <c r="F96" s="5" t="s">
        <v>22</v>
      </c>
      <c r="G96" s="8" t="s">
        <v>28</v>
      </c>
      <c r="H96" s="5" t="s">
        <v>29</v>
      </c>
      <c r="I96" s="5"/>
    </row>
    <row r="97" customFormat="false" ht="15" hidden="false" customHeight="false" outlineLevel="0" collapsed="false">
      <c r="A97" s="7" t="s">
        <v>84</v>
      </c>
      <c r="B97" s="7" t="s">
        <v>85</v>
      </c>
      <c r="C97" s="7" t="s">
        <v>24</v>
      </c>
      <c r="D97" s="7" t="s">
        <v>25</v>
      </c>
      <c r="E97" s="7" t="s">
        <v>21</v>
      </c>
      <c r="F97" s="7" t="s">
        <v>22</v>
      </c>
      <c r="G97" s="8" t="s">
        <v>28</v>
      </c>
      <c r="H97" s="7" t="s">
        <v>29</v>
      </c>
      <c r="I97" s="7"/>
    </row>
    <row r="98" customFormat="false" ht="15" hidden="false" customHeight="false" outlineLevel="0" collapsed="false">
      <c r="A98" s="5" t="s">
        <v>84</v>
      </c>
      <c r="B98" s="5" t="s">
        <v>85</v>
      </c>
      <c r="C98" s="5" t="s">
        <v>26</v>
      </c>
      <c r="D98" s="5" t="s">
        <v>27</v>
      </c>
      <c r="E98" s="5" t="s">
        <v>21</v>
      </c>
      <c r="F98" s="5" t="s">
        <v>22</v>
      </c>
      <c r="G98" s="6" t="s">
        <v>23</v>
      </c>
      <c r="H98" s="5"/>
      <c r="I98" s="5"/>
    </row>
    <row r="99" customFormat="false" ht="15" hidden="false" customHeight="false" outlineLevel="0" collapsed="false">
      <c r="A99" s="7" t="s">
        <v>86</v>
      </c>
      <c r="B99" s="7" t="s">
        <v>87</v>
      </c>
      <c r="C99" s="7" t="s">
        <v>19</v>
      </c>
      <c r="D99" s="7" t="s">
        <v>20</v>
      </c>
      <c r="E99" s="7" t="s">
        <v>21</v>
      </c>
      <c r="F99" s="7" t="s">
        <v>34</v>
      </c>
      <c r="G99" s="6" t="s">
        <v>23</v>
      </c>
      <c r="H99" s="7"/>
      <c r="I99" s="7"/>
    </row>
    <row r="100" customFormat="false" ht="15" hidden="false" customHeight="false" outlineLevel="0" collapsed="false">
      <c r="A100" s="5" t="s">
        <v>86</v>
      </c>
      <c r="B100" s="5" t="s">
        <v>87</v>
      </c>
      <c r="C100" s="5" t="s">
        <v>24</v>
      </c>
      <c r="D100" s="5" t="s">
        <v>25</v>
      </c>
      <c r="E100" s="5" t="s">
        <v>21</v>
      </c>
      <c r="F100" s="5" t="s">
        <v>34</v>
      </c>
      <c r="G100" s="6" t="s">
        <v>23</v>
      </c>
      <c r="H100" s="5"/>
      <c r="I100" s="5" t="s">
        <v>35</v>
      </c>
    </row>
    <row r="101" customFormat="false" ht="15" hidden="false" customHeight="false" outlineLevel="0" collapsed="false">
      <c r="A101" s="7" t="s">
        <v>86</v>
      </c>
      <c r="B101" s="7" t="s">
        <v>87</v>
      </c>
      <c r="C101" s="7" t="s">
        <v>26</v>
      </c>
      <c r="D101" s="7" t="s">
        <v>27</v>
      </c>
      <c r="E101" s="7" t="s">
        <v>21</v>
      </c>
      <c r="F101" s="7" t="s">
        <v>34</v>
      </c>
      <c r="G101" s="8" t="s">
        <v>28</v>
      </c>
      <c r="H101" s="7" t="s">
        <v>29</v>
      </c>
      <c r="I101" s="7"/>
    </row>
    <row r="102" customFormat="false" ht="15" hidden="false" customHeight="false" outlineLevel="0" collapsed="false">
      <c r="A102" s="5" t="s">
        <v>86</v>
      </c>
      <c r="B102" s="5" t="s">
        <v>87</v>
      </c>
      <c r="C102" s="5" t="s">
        <v>30</v>
      </c>
      <c r="D102" s="5" t="s">
        <v>31</v>
      </c>
      <c r="E102" s="5" t="s">
        <v>21</v>
      </c>
      <c r="F102" s="5" t="s">
        <v>34</v>
      </c>
      <c r="G102" s="8" t="s">
        <v>28</v>
      </c>
      <c r="H102" s="5" t="s">
        <v>29</v>
      </c>
      <c r="I102" s="5"/>
    </row>
    <row r="103" customFormat="false" ht="15" hidden="false" customHeight="false" outlineLevel="0" collapsed="false">
      <c r="A103" s="7" t="s">
        <v>86</v>
      </c>
      <c r="B103" s="7" t="s">
        <v>87</v>
      </c>
      <c r="C103" s="7" t="s">
        <v>41</v>
      </c>
      <c r="D103" s="7" t="s">
        <v>66</v>
      </c>
      <c r="E103" s="7" t="s">
        <v>21</v>
      </c>
      <c r="F103" s="7" t="s">
        <v>34</v>
      </c>
      <c r="G103" s="8" t="s">
        <v>28</v>
      </c>
      <c r="H103" s="7" t="s">
        <v>29</v>
      </c>
      <c r="I103" s="7"/>
    </row>
    <row r="104" customFormat="false" ht="15" hidden="false" customHeight="false" outlineLevel="0" collapsed="false">
      <c r="A104" s="5" t="s">
        <v>86</v>
      </c>
      <c r="B104" s="5" t="s">
        <v>87</v>
      </c>
      <c r="C104" s="5" t="s">
        <v>44</v>
      </c>
      <c r="D104" s="5" t="s">
        <v>88</v>
      </c>
      <c r="E104" s="5" t="s">
        <v>21</v>
      </c>
      <c r="F104" s="5" t="s">
        <v>34</v>
      </c>
      <c r="G104" s="6" t="s">
        <v>23</v>
      </c>
      <c r="H104" s="5"/>
      <c r="I104" s="5" t="s">
        <v>35</v>
      </c>
    </row>
    <row r="105" customFormat="false" ht="15" hidden="false" customHeight="false" outlineLevel="0" collapsed="false">
      <c r="A105" s="7" t="s">
        <v>86</v>
      </c>
      <c r="B105" s="7" t="s">
        <v>87</v>
      </c>
      <c r="C105" s="7" t="s">
        <v>47</v>
      </c>
      <c r="D105" s="7" t="s">
        <v>89</v>
      </c>
      <c r="E105" s="7" t="s">
        <v>21</v>
      </c>
      <c r="F105" s="7" t="s">
        <v>34</v>
      </c>
      <c r="G105" s="6" t="s">
        <v>23</v>
      </c>
      <c r="H105" s="7"/>
      <c r="I105" s="7" t="s">
        <v>35</v>
      </c>
    </row>
    <row r="106" customFormat="false" ht="15" hidden="false" customHeight="false" outlineLevel="0" collapsed="false">
      <c r="A106" s="5" t="s">
        <v>86</v>
      </c>
      <c r="B106" s="5" t="s">
        <v>87</v>
      </c>
      <c r="C106" s="5" t="s">
        <v>49</v>
      </c>
      <c r="D106" s="5" t="s">
        <v>90</v>
      </c>
      <c r="E106" s="5" t="s">
        <v>21</v>
      </c>
      <c r="F106" s="5" t="s">
        <v>34</v>
      </c>
      <c r="G106" s="8" t="s">
        <v>28</v>
      </c>
      <c r="H106" s="5" t="s">
        <v>29</v>
      </c>
      <c r="I106" s="5"/>
    </row>
    <row r="107" customFormat="false" ht="15" hidden="false" customHeight="false" outlineLevel="0" collapsed="false">
      <c r="A107" s="7" t="s">
        <v>86</v>
      </c>
      <c r="B107" s="7" t="s">
        <v>87</v>
      </c>
      <c r="C107" s="7" t="s">
        <v>53</v>
      </c>
      <c r="D107" s="7" t="s">
        <v>91</v>
      </c>
      <c r="E107" s="7" t="s">
        <v>21</v>
      </c>
      <c r="F107" s="7" t="s">
        <v>34</v>
      </c>
      <c r="G107" s="8" t="s">
        <v>28</v>
      </c>
      <c r="H107" s="7" t="s">
        <v>29</v>
      </c>
      <c r="I107" s="7"/>
    </row>
    <row r="108" customFormat="false" ht="15" hidden="false" customHeight="false" outlineLevel="0" collapsed="false">
      <c r="A108" s="5" t="s">
        <v>92</v>
      </c>
      <c r="B108" s="5" t="s">
        <v>93</v>
      </c>
      <c r="C108" s="5" t="s">
        <v>19</v>
      </c>
      <c r="D108" s="5" t="s">
        <v>20</v>
      </c>
      <c r="E108" s="5" t="s">
        <v>21</v>
      </c>
      <c r="F108" s="5" t="s">
        <v>37</v>
      </c>
      <c r="G108" s="6" t="s">
        <v>23</v>
      </c>
      <c r="H108" s="5"/>
      <c r="I108" s="5"/>
    </row>
    <row r="109" customFormat="false" ht="15" hidden="false" customHeight="false" outlineLevel="0" collapsed="false">
      <c r="A109" s="7" t="s">
        <v>92</v>
      </c>
      <c r="B109" s="7" t="s">
        <v>93</v>
      </c>
      <c r="C109" s="7" t="s">
        <v>24</v>
      </c>
      <c r="D109" s="7" t="s">
        <v>25</v>
      </c>
      <c r="E109" s="7" t="s">
        <v>21</v>
      </c>
      <c r="F109" s="7" t="s">
        <v>37</v>
      </c>
      <c r="G109" s="6" t="s">
        <v>23</v>
      </c>
      <c r="H109" s="7"/>
      <c r="I109" s="7"/>
    </row>
    <row r="110" customFormat="false" ht="15" hidden="false" customHeight="false" outlineLevel="0" collapsed="false">
      <c r="A110" s="5" t="s">
        <v>92</v>
      </c>
      <c r="B110" s="5" t="s">
        <v>93</v>
      </c>
      <c r="C110" s="5" t="s">
        <v>26</v>
      </c>
      <c r="D110" s="5" t="s">
        <v>27</v>
      </c>
      <c r="E110" s="5" t="s">
        <v>21</v>
      </c>
      <c r="F110" s="5" t="s">
        <v>37</v>
      </c>
      <c r="G110" s="8" t="s">
        <v>28</v>
      </c>
      <c r="H110" s="5" t="s">
        <v>29</v>
      </c>
      <c r="I110" s="5"/>
    </row>
    <row r="111" customFormat="false" ht="15" hidden="false" customHeight="false" outlineLevel="0" collapsed="false">
      <c r="A111" s="7" t="s">
        <v>92</v>
      </c>
      <c r="B111" s="7" t="s">
        <v>93</v>
      </c>
      <c r="C111" s="7" t="s">
        <v>30</v>
      </c>
      <c r="D111" s="7" t="s">
        <v>31</v>
      </c>
      <c r="E111" s="7" t="s">
        <v>21</v>
      </c>
      <c r="F111" s="7" t="s">
        <v>37</v>
      </c>
      <c r="G111" s="6" t="s">
        <v>23</v>
      </c>
      <c r="H111" s="7"/>
      <c r="I111" s="7"/>
    </row>
    <row r="112" customFormat="false" ht="15" hidden="false" customHeight="false" outlineLevel="0" collapsed="false">
      <c r="A112" s="5" t="s">
        <v>92</v>
      </c>
      <c r="B112" s="5" t="s">
        <v>93</v>
      </c>
      <c r="C112" s="5" t="s">
        <v>41</v>
      </c>
      <c r="D112" s="5" t="s">
        <v>66</v>
      </c>
      <c r="E112" s="5" t="s">
        <v>21</v>
      </c>
      <c r="F112" s="5" t="s">
        <v>37</v>
      </c>
      <c r="G112" s="8" t="s">
        <v>28</v>
      </c>
      <c r="H112" s="5" t="s">
        <v>29</v>
      </c>
      <c r="I112" s="5"/>
    </row>
    <row r="113" customFormat="false" ht="15" hidden="false" customHeight="false" outlineLevel="0" collapsed="false">
      <c r="A113" s="7" t="s">
        <v>92</v>
      </c>
      <c r="B113" s="7" t="s">
        <v>93</v>
      </c>
      <c r="C113" s="7" t="s">
        <v>44</v>
      </c>
      <c r="D113" s="7" t="s">
        <v>88</v>
      </c>
      <c r="E113" s="7" t="s">
        <v>21</v>
      </c>
      <c r="F113" s="7" t="s">
        <v>37</v>
      </c>
      <c r="G113" s="8" t="s">
        <v>28</v>
      </c>
      <c r="H113" s="7" t="s">
        <v>29</v>
      </c>
      <c r="I113" s="7"/>
    </row>
    <row r="114" customFormat="false" ht="15" hidden="false" customHeight="false" outlineLevel="0" collapsed="false">
      <c r="A114" s="5" t="s">
        <v>94</v>
      </c>
      <c r="B114" s="5" t="s">
        <v>95</v>
      </c>
      <c r="C114" s="5" t="s">
        <v>19</v>
      </c>
      <c r="D114" s="5" t="s">
        <v>20</v>
      </c>
      <c r="E114" s="5" t="s">
        <v>21</v>
      </c>
      <c r="F114" s="5" t="s">
        <v>39</v>
      </c>
      <c r="G114" s="8" t="s">
        <v>28</v>
      </c>
      <c r="H114" s="5" t="s">
        <v>29</v>
      </c>
      <c r="I114" s="5"/>
    </row>
    <row r="115" customFormat="false" ht="15" hidden="false" customHeight="false" outlineLevel="0" collapsed="false">
      <c r="A115" s="7" t="s">
        <v>94</v>
      </c>
      <c r="B115" s="7" t="s">
        <v>95</v>
      </c>
      <c r="C115" s="7" t="s">
        <v>24</v>
      </c>
      <c r="D115" s="7" t="s">
        <v>25</v>
      </c>
      <c r="E115" s="7" t="s">
        <v>21</v>
      </c>
      <c r="F115" s="7" t="s">
        <v>39</v>
      </c>
      <c r="G115" s="6" t="s">
        <v>23</v>
      </c>
      <c r="H115" s="7"/>
      <c r="I115" s="7"/>
    </row>
    <row r="116" customFormat="false" ht="15" hidden="false" customHeight="false" outlineLevel="0" collapsed="false">
      <c r="A116" s="5" t="s">
        <v>94</v>
      </c>
      <c r="B116" s="5" t="s">
        <v>95</v>
      </c>
      <c r="C116" s="5" t="s">
        <v>26</v>
      </c>
      <c r="D116" s="5" t="s">
        <v>27</v>
      </c>
      <c r="E116" s="5" t="s">
        <v>21</v>
      </c>
      <c r="F116" s="5" t="s">
        <v>39</v>
      </c>
      <c r="G116" s="8" t="s">
        <v>28</v>
      </c>
      <c r="H116" s="5" t="s">
        <v>29</v>
      </c>
      <c r="I116" s="5"/>
    </row>
    <row r="117" customFormat="false" ht="15" hidden="false" customHeight="false" outlineLevel="0" collapsed="false">
      <c r="A117" s="7" t="s">
        <v>94</v>
      </c>
      <c r="B117" s="7" t="s">
        <v>95</v>
      </c>
      <c r="C117" s="7" t="s">
        <v>30</v>
      </c>
      <c r="D117" s="7" t="s">
        <v>31</v>
      </c>
      <c r="E117" s="7" t="s">
        <v>21</v>
      </c>
      <c r="F117" s="7" t="s">
        <v>39</v>
      </c>
      <c r="G117" s="6" t="s">
        <v>23</v>
      </c>
      <c r="H117" s="7"/>
      <c r="I117" s="7" t="s">
        <v>35</v>
      </c>
    </row>
    <row r="118" customFormat="false" ht="15" hidden="false" customHeight="false" outlineLevel="0" collapsed="false">
      <c r="A118" s="5" t="s">
        <v>94</v>
      </c>
      <c r="B118" s="5" t="s">
        <v>95</v>
      </c>
      <c r="C118" s="5" t="s">
        <v>41</v>
      </c>
      <c r="D118" s="5" t="s">
        <v>66</v>
      </c>
      <c r="E118" s="5" t="s">
        <v>21</v>
      </c>
      <c r="F118" s="5" t="s">
        <v>39</v>
      </c>
      <c r="G118" s="8" t="s">
        <v>28</v>
      </c>
      <c r="H118" s="5" t="s">
        <v>29</v>
      </c>
      <c r="I118" s="5"/>
    </row>
    <row r="119" customFormat="false" ht="15" hidden="false" customHeight="false" outlineLevel="0" collapsed="false">
      <c r="A119" s="7" t="s">
        <v>94</v>
      </c>
      <c r="B119" s="7" t="s">
        <v>95</v>
      </c>
      <c r="C119" s="7" t="s">
        <v>44</v>
      </c>
      <c r="D119" s="7" t="s">
        <v>88</v>
      </c>
      <c r="E119" s="7" t="s">
        <v>21</v>
      </c>
      <c r="F119" s="7" t="s">
        <v>39</v>
      </c>
      <c r="G119" s="8" t="s">
        <v>28</v>
      </c>
      <c r="H119" s="7" t="s">
        <v>29</v>
      </c>
      <c r="I119" s="7"/>
    </row>
    <row r="120" customFormat="false" ht="15" hidden="false" customHeight="false" outlineLevel="0" collapsed="false">
      <c r="A120" s="5" t="s">
        <v>94</v>
      </c>
      <c r="B120" s="5" t="s">
        <v>95</v>
      </c>
      <c r="C120" s="5" t="s">
        <v>47</v>
      </c>
      <c r="D120" s="5" t="s">
        <v>89</v>
      </c>
      <c r="E120" s="5" t="s">
        <v>21</v>
      </c>
      <c r="F120" s="5" t="s">
        <v>39</v>
      </c>
      <c r="G120" s="8" t="s">
        <v>28</v>
      </c>
      <c r="H120" s="5" t="s">
        <v>29</v>
      </c>
      <c r="I120" s="5"/>
    </row>
    <row r="121" customFormat="false" ht="15" hidden="false" customHeight="false" outlineLevel="0" collapsed="false">
      <c r="A121" s="7" t="s">
        <v>94</v>
      </c>
      <c r="B121" s="7" t="s">
        <v>95</v>
      </c>
      <c r="C121" s="7" t="s">
        <v>49</v>
      </c>
      <c r="D121" s="7" t="s">
        <v>90</v>
      </c>
      <c r="E121" s="7" t="s">
        <v>21</v>
      </c>
      <c r="F121" s="7" t="s">
        <v>39</v>
      </c>
      <c r="G121" s="6" t="s">
        <v>23</v>
      </c>
      <c r="H121" s="7"/>
      <c r="I121" s="7" t="s">
        <v>35</v>
      </c>
    </row>
    <row r="122" customFormat="false" ht="15" hidden="false" customHeight="false" outlineLevel="0" collapsed="false">
      <c r="A122" s="5" t="s">
        <v>94</v>
      </c>
      <c r="B122" s="5" t="s">
        <v>95</v>
      </c>
      <c r="C122" s="5" t="s">
        <v>53</v>
      </c>
      <c r="D122" s="5" t="s">
        <v>91</v>
      </c>
      <c r="E122" s="5" t="s">
        <v>21</v>
      </c>
      <c r="F122" s="5" t="s">
        <v>39</v>
      </c>
      <c r="G122" s="6" t="s">
        <v>23</v>
      </c>
      <c r="H122" s="5"/>
      <c r="I122" s="5" t="s">
        <v>32</v>
      </c>
    </row>
    <row r="123" customFormat="false" ht="15" hidden="false" customHeight="false" outlineLevel="0" collapsed="false">
      <c r="A123" s="7" t="s">
        <v>94</v>
      </c>
      <c r="B123" s="7" t="s">
        <v>95</v>
      </c>
      <c r="C123" s="7" t="s">
        <v>51</v>
      </c>
      <c r="D123" s="7" t="s">
        <v>96</v>
      </c>
      <c r="E123" s="7" t="s">
        <v>21</v>
      </c>
      <c r="F123" s="7" t="s">
        <v>39</v>
      </c>
      <c r="G123" s="8" t="s">
        <v>28</v>
      </c>
      <c r="H123" s="7" t="s">
        <v>29</v>
      </c>
      <c r="I123" s="7"/>
    </row>
    <row r="124" customFormat="false" ht="15" hidden="false" customHeight="false" outlineLevel="0" collapsed="false">
      <c r="A124" s="5" t="s">
        <v>94</v>
      </c>
      <c r="B124" s="5" t="s">
        <v>95</v>
      </c>
      <c r="C124" s="5" t="s">
        <v>55</v>
      </c>
      <c r="D124" s="5" t="s">
        <v>97</v>
      </c>
      <c r="E124" s="5" t="s">
        <v>21</v>
      </c>
      <c r="F124" s="5" t="s">
        <v>39</v>
      </c>
      <c r="G124" s="8" t="s">
        <v>28</v>
      </c>
      <c r="H124" s="5" t="s">
        <v>29</v>
      </c>
      <c r="I124" s="5"/>
    </row>
    <row r="125" customFormat="false" ht="15" hidden="false" customHeight="false" outlineLevel="0" collapsed="false">
      <c r="A125" s="7" t="s">
        <v>94</v>
      </c>
      <c r="B125" s="7" t="s">
        <v>95</v>
      </c>
      <c r="C125" s="7" t="s">
        <v>98</v>
      </c>
      <c r="D125" s="7" t="s">
        <v>99</v>
      </c>
      <c r="E125" s="7" t="s">
        <v>21</v>
      </c>
      <c r="F125" s="7" t="s">
        <v>39</v>
      </c>
      <c r="G125" s="6" t="s">
        <v>23</v>
      </c>
      <c r="H125" s="7"/>
      <c r="I125" s="7" t="s">
        <v>32</v>
      </c>
    </row>
    <row r="126" customFormat="false" ht="15" hidden="false" customHeight="false" outlineLevel="0" collapsed="false">
      <c r="A126" s="5" t="s">
        <v>94</v>
      </c>
      <c r="B126" s="5" t="s">
        <v>95</v>
      </c>
      <c r="C126" s="5" t="s">
        <v>57</v>
      </c>
      <c r="D126" s="5" t="s">
        <v>100</v>
      </c>
      <c r="E126" s="5" t="s">
        <v>21</v>
      </c>
      <c r="F126" s="5" t="s">
        <v>39</v>
      </c>
      <c r="G126" s="8" t="s">
        <v>28</v>
      </c>
      <c r="H126" s="5" t="s">
        <v>29</v>
      </c>
      <c r="I126" s="5"/>
    </row>
    <row r="127" customFormat="false" ht="15" hidden="false" customHeight="false" outlineLevel="0" collapsed="false">
      <c r="A127" s="7" t="s">
        <v>94</v>
      </c>
      <c r="B127" s="7" t="s">
        <v>95</v>
      </c>
      <c r="C127" s="7" t="s">
        <v>59</v>
      </c>
      <c r="D127" s="7" t="s">
        <v>101</v>
      </c>
      <c r="E127" s="7" t="s">
        <v>21</v>
      </c>
      <c r="F127" s="7" t="s">
        <v>39</v>
      </c>
      <c r="G127" s="6" t="s">
        <v>23</v>
      </c>
      <c r="H127" s="7"/>
      <c r="I127" s="7" t="s">
        <v>67</v>
      </c>
    </row>
    <row r="128" customFormat="false" ht="15" hidden="false" customHeight="false" outlineLevel="0" collapsed="false">
      <c r="A128" s="5" t="s">
        <v>94</v>
      </c>
      <c r="B128" s="5" t="s">
        <v>95</v>
      </c>
      <c r="C128" s="5" t="s">
        <v>102</v>
      </c>
      <c r="D128" s="5" t="s">
        <v>103</v>
      </c>
      <c r="E128" s="5" t="s">
        <v>21</v>
      </c>
      <c r="F128" s="5" t="s">
        <v>39</v>
      </c>
      <c r="G128" s="8" t="s">
        <v>28</v>
      </c>
      <c r="H128" s="5" t="s">
        <v>29</v>
      </c>
      <c r="I128" s="5"/>
    </row>
    <row r="129" customFormat="false" ht="15" hidden="false" customHeight="false" outlineLevel="0" collapsed="false">
      <c r="A129" s="7" t="s">
        <v>94</v>
      </c>
      <c r="B129" s="7" t="s">
        <v>95</v>
      </c>
      <c r="C129" s="7" t="s">
        <v>61</v>
      </c>
      <c r="D129" s="7" t="s">
        <v>104</v>
      </c>
      <c r="E129" s="7" t="s">
        <v>21</v>
      </c>
      <c r="F129" s="7" t="s">
        <v>39</v>
      </c>
      <c r="G129" s="8" t="s">
        <v>28</v>
      </c>
      <c r="H129" s="7" t="s">
        <v>29</v>
      </c>
      <c r="I129" s="7"/>
    </row>
    <row r="130" customFormat="false" ht="15" hidden="false" customHeight="false" outlineLevel="0" collapsed="false">
      <c r="A130" s="5" t="s">
        <v>94</v>
      </c>
      <c r="B130" s="5" t="s">
        <v>95</v>
      </c>
      <c r="C130" s="5" t="s">
        <v>105</v>
      </c>
      <c r="D130" s="5" t="s">
        <v>106</v>
      </c>
      <c r="E130" s="5" t="s">
        <v>21</v>
      </c>
      <c r="F130" s="5" t="s">
        <v>39</v>
      </c>
      <c r="G130" s="8" t="s">
        <v>28</v>
      </c>
      <c r="H130" s="5" t="s">
        <v>29</v>
      </c>
      <c r="I130" s="5"/>
    </row>
    <row r="131" customFormat="false" ht="15" hidden="false" customHeight="false" outlineLevel="0" collapsed="false">
      <c r="A131" s="7" t="s">
        <v>94</v>
      </c>
      <c r="B131" s="7" t="s">
        <v>95</v>
      </c>
      <c r="C131" s="7" t="s">
        <v>63</v>
      </c>
      <c r="D131" s="7" t="s">
        <v>107</v>
      </c>
      <c r="E131" s="7" t="s">
        <v>21</v>
      </c>
      <c r="F131" s="7" t="s">
        <v>39</v>
      </c>
      <c r="G131" s="8" t="s">
        <v>28</v>
      </c>
      <c r="H131" s="7" t="s">
        <v>29</v>
      </c>
      <c r="I131" s="7"/>
    </row>
    <row r="132" customFormat="false" ht="15" hidden="false" customHeight="false" outlineLevel="0" collapsed="false">
      <c r="A132" s="5" t="s">
        <v>108</v>
      </c>
      <c r="B132" s="5" t="s">
        <v>109</v>
      </c>
      <c r="C132" s="5" t="s">
        <v>19</v>
      </c>
      <c r="D132" s="5" t="s">
        <v>20</v>
      </c>
      <c r="E132" s="5" t="s">
        <v>21</v>
      </c>
      <c r="F132" s="5" t="s">
        <v>42</v>
      </c>
      <c r="G132" s="8" t="s">
        <v>28</v>
      </c>
      <c r="H132" s="5" t="s">
        <v>29</v>
      </c>
      <c r="I132" s="5"/>
    </row>
    <row r="133" customFormat="false" ht="15" hidden="false" customHeight="false" outlineLevel="0" collapsed="false">
      <c r="A133" s="7" t="s">
        <v>108</v>
      </c>
      <c r="B133" s="7" t="s">
        <v>109</v>
      </c>
      <c r="C133" s="7" t="s">
        <v>24</v>
      </c>
      <c r="D133" s="7" t="s">
        <v>25</v>
      </c>
      <c r="E133" s="7" t="s">
        <v>21</v>
      </c>
      <c r="F133" s="7" t="s">
        <v>42</v>
      </c>
      <c r="G133" s="8" t="s">
        <v>28</v>
      </c>
      <c r="H133" s="7" t="s">
        <v>29</v>
      </c>
      <c r="I133" s="7"/>
    </row>
    <row r="134" customFormat="false" ht="15" hidden="false" customHeight="false" outlineLevel="0" collapsed="false">
      <c r="A134" s="5" t="s">
        <v>108</v>
      </c>
      <c r="B134" s="5" t="s">
        <v>109</v>
      </c>
      <c r="C134" s="5" t="s">
        <v>26</v>
      </c>
      <c r="D134" s="5" t="s">
        <v>27</v>
      </c>
      <c r="E134" s="5" t="s">
        <v>21</v>
      </c>
      <c r="F134" s="5" t="s">
        <v>42</v>
      </c>
      <c r="G134" s="8" t="s">
        <v>28</v>
      </c>
      <c r="H134" s="5" t="s">
        <v>29</v>
      </c>
      <c r="I134" s="5"/>
    </row>
    <row r="135" customFormat="false" ht="15" hidden="false" customHeight="false" outlineLevel="0" collapsed="false">
      <c r="A135" s="7" t="s">
        <v>108</v>
      </c>
      <c r="B135" s="7" t="s">
        <v>109</v>
      </c>
      <c r="C135" s="7" t="s">
        <v>30</v>
      </c>
      <c r="D135" s="7" t="s">
        <v>31</v>
      </c>
      <c r="E135" s="7" t="s">
        <v>21</v>
      </c>
      <c r="F135" s="7" t="s">
        <v>42</v>
      </c>
      <c r="G135" s="6" t="s">
        <v>23</v>
      </c>
      <c r="H135" s="7"/>
      <c r="I135" s="7"/>
    </row>
    <row r="136" customFormat="false" ht="15" hidden="false" customHeight="false" outlineLevel="0" collapsed="false">
      <c r="A136" s="5" t="s">
        <v>108</v>
      </c>
      <c r="B136" s="5" t="s">
        <v>109</v>
      </c>
      <c r="C136" s="5" t="s">
        <v>41</v>
      </c>
      <c r="D136" s="5" t="s">
        <v>66</v>
      </c>
      <c r="E136" s="5" t="s">
        <v>21</v>
      </c>
      <c r="F136" s="5" t="s">
        <v>42</v>
      </c>
      <c r="G136" s="8" t="s">
        <v>28</v>
      </c>
      <c r="H136" s="5" t="s">
        <v>29</v>
      </c>
      <c r="I136" s="5"/>
    </row>
    <row r="137" customFormat="false" ht="15" hidden="false" customHeight="false" outlineLevel="0" collapsed="false">
      <c r="A137" s="7" t="s">
        <v>110</v>
      </c>
      <c r="B137" s="7" t="s">
        <v>111</v>
      </c>
      <c r="C137" s="7" t="s">
        <v>19</v>
      </c>
      <c r="D137" s="7" t="s">
        <v>20</v>
      </c>
      <c r="E137" s="7" t="s">
        <v>21</v>
      </c>
      <c r="F137" s="7" t="s">
        <v>45</v>
      </c>
      <c r="G137" s="8" t="s">
        <v>28</v>
      </c>
      <c r="H137" s="7" t="s">
        <v>29</v>
      </c>
      <c r="I137" s="7"/>
    </row>
    <row r="138" customFormat="false" ht="15" hidden="false" customHeight="false" outlineLevel="0" collapsed="false">
      <c r="A138" s="5" t="s">
        <v>110</v>
      </c>
      <c r="B138" s="5" t="s">
        <v>111</v>
      </c>
      <c r="C138" s="5" t="s">
        <v>24</v>
      </c>
      <c r="D138" s="5" t="s">
        <v>25</v>
      </c>
      <c r="E138" s="5" t="s">
        <v>21</v>
      </c>
      <c r="F138" s="5" t="s">
        <v>45</v>
      </c>
      <c r="G138" s="8" t="s">
        <v>28</v>
      </c>
      <c r="H138" s="5" t="s">
        <v>29</v>
      </c>
      <c r="I138" s="5"/>
    </row>
    <row r="139" customFormat="false" ht="15" hidden="false" customHeight="false" outlineLevel="0" collapsed="false">
      <c r="A139" s="7" t="s">
        <v>110</v>
      </c>
      <c r="B139" s="7" t="s">
        <v>111</v>
      </c>
      <c r="C139" s="7" t="s">
        <v>26</v>
      </c>
      <c r="D139" s="7" t="s">
        <v>27</v>
      </c>
      <c r="E139" s="7" t="s">
        <v>21</v>
      </c>
      <c r="F139" s="7" t="s">
        <v>45</v>
      </c>
      <c r="G139" s="8" t="s">
        <v>28</v>
      </c>
      <c r="H139" s="7" t="s">
        <v>29</v>
      </c>
      <c r="I139" s="7"/>
    </row>
    <row r="140" customFormat="false" ht="15" hidden="false" customHeight="false" outlineLevel="0" collapsed="false">
      <c r="A140" s="5" t="s">
        <v>110</v>
      </c>
      <c r="B140" s="5" t="s">
        <v>111</v>
      </c>
      <c r="C140" s="5" t="s">
        <v>30</v>
      </c>
      <c r="D140" s="5" t="s">
        <v>31</v>
      </c>
      <c r="E140" s="5" t="s">
        <v>21</v>
      </c>
      <c r="F140" s="5" t="s">
        <v>45</v>
      </c>
      <c r="G140" s="8" t="s">
        <v>28</v>
      </c>
      <c r="H140" s="5" t="s">
        <v>29</v>
      </c>
      <c r="I140" s="5"/>
    </row>
    <row r="141" customFormat="false" ht="15" hidden="false" customHeight="false" outlineLevel="0" collapsed="false">
      <c r="A141" s="7" t="s">
        <v>110</v>
      </c>
      <c r="B141" s="7" t="s">
        <v>111</v>
      </c>
      <c r="C141" s="7" t="s">
        <v>41</v>
      </c>
      <c r="D141" s="7" t="s">
        <v>66</v>
      </c>
      <c r="E141" s="7" t="s">
        <v>21</v>
      </c>
      <c r="F141" s="7" t="s">
        <v>45</v>
      </c>
      <c r="G141" s="8" t="s">
        <v>28</v>
      </c>
      <c r="H141" s="7" t="s">
        <v>29</v>
      </c>
      <c r="I141" s="7"/>
    </row>
    <row r="142" customFormat="false" ht="15" hidden="false" customHeight="false" outlineLevel="0" collapsed="false">
      <c r="A142" s="5" t="s">
        <v>112</v>
      </c>
      <c r="B142" s="5" t="s">
        <v>113</v>
      </c>
      <c r="C142" s="5" t="s">
        <v>19</v>
      </c>
      <c r="D142" s="5" t="s">
        <v>20</v>
      </c>
      <c r="E142" s="5" t="s">
        <v>21</v>
      </c>
      <c r="F142" s="5" t="s">
        <v>22</v>
      </c>
      <c r="G142" s="8" t="s">
        <v>28</v>
      </c>
      <c r="H142" s="5" t="s">
        <v>29</v>
      </c>
      <c r="I142" s="5"/>
    </row>
    <row r="143" customFormat="false" ht="15" hidden="false" customHeight="false" outlineLevel="0" collapsed="false">
      <c r="A143" s="7" t="s">
        <v>112</v>
      </c>
      <c r="B143" s="7" t="s">
        <v>113</v>
      </c>
      <c r="C143" s="7" t="s">
        <v>24</v>
      </c>
      <c r="D143" s="7" t="s">
        <v>25</v>
      </c>
      <c r="E143" s="7" t="s">
        <v>21</v>
      </c>
      <c r="F143" s="7" t="s">
        <v>22</v>
      </c>
      <c r="G143" s="6" t="s">
        <v>23</v>
      </c>
      <c r="H143" s="7"/>
      <c r="I143" s="7" t="s">
        <v>35</v>
      </c>
    </row>
    <row r="144" customFormat="false" ht="15" hidden="false" customHeight="false" outlineLevel="0" collapsed="false">
      <c r="A144" s="5" t="s">
        <v>112</v>
      </c>
      <c r="B144" s="5" t="s">
        <v>113</v>
      </c>
      <c r="C144" s="5" t="s">
        <v>26</v>
      </c>
      <c r="D144" s="5" t="s">
        <v>27</v>
      </c>
      <c r="E144" s="5" t="s">
        <v>21</v>
      </c>
      <c r="F144" s="5" t="s">
        <v>22</v>
      </c>
      <c r="G144" s="8" t="s">
        <v>28</v>
      </c>
      <c r="H144" s="5" t="s">
        <v>29</v>
      </c>
      <c r="I144" s="5"/>
    </row>
    <row r="145" customFormat="false" ht="15" hidden="false" customHeight="false" outlineLevel="0" collapsed="false">
      <c r="A145" s="7" t="s">
        <v>112</v>
      </c>
      <c r="B145" s="7" t="s">
        <v>113</v>
      </c>
      <c r="C145" s="7" t="s">
        <v>30</v>
      </c>
      <c r="D145" s="7" t="s">
        <v>31</v>
      </c>
      <c r="E145" s="7" t="s">
        <v>21</v>
      </c>
      <c r="F145" s="7" t="s">
        <v>22</v>
      </c>
      <c r="G145" s="8" t="s">
        <v>28</v>
      </c>
      <c r="H145" s="7" t="s">
        <v>29</v>
      </c>
      <c r="I145" s="7"/>
    </row>
    <row r="146" customFormat="false" ht="15" hidden="false" customHeight="false" outlineLevel="0" collapsed="false">
      <c r="A146" s="5" t="s">
        <v>112</v>
      </c>
      <c r="B146" s="5" t="s">
        <v>113</v>
      </c>
      <c r="C146" s="5" t="s">
        <v>41</v>
      </c>
      <c r="D146" s="5" t="s">
        <v>66</v>
      </c>
      <c r="E146" s="5" t="s">
        <v>21</v>
      </c>
      <c r="F146" s="5" t="s">
        <v>22</v>
      </c>
      <c r="G146" s="8" t="s">
        <v>28</v>
      </c>
      <c r="H146" s="5" t="s">
        <v>29</v>
      </c>
      <c r="I146" s="5"/>
    </row>
    <row r="147" customFormat="false" ht="15" hidden="false" customHeight="false" outlineLevel="0" collapsed="false">
      <c r="A147" s="7" t="s">
        <v>112</v>
      </c>
      <c r="B147" s="7" t="s">
        <v>113</v>
      </c>
      <c r="C147" s="7" t="s">
        <v>44</v>
      </c>
      <c r="D147" s="7" t="s">
        <v>88</v>
      </c>
      <c r="E147" s="7" t="s">
        <v>21</v>
      </c>
      <c r="F147" s="7" t="s">
        <v>22</v>
      </c>
      <c r="G147" s="8" t="s">
        <v>28</v>
      </c>
      <c r="H147" s="7" t="s">
        <v>29</v>
      </c>
      <c r="I147" s="7"/>
    </row>
    <row r="148" customFormat="false" ht="15" hidden="false" customHeight="false" outlineLevel="0" collapsed="false">
      <c r="A148" s="5" t="s">
        <v>114</v>
      </c>
      <c r="B148" s="5" t="s">
        <v>115</v>
      </c>
      <c r="C148" s="5" t="s">
        <v>19</v>
      </c>
      <c r="D148" s="5" t="s">
        <v>20</v>
      </c>
      <c r="E148" s="5" t="s">
        <v>21</v>
      </c>
      <c r="F148" s="5" t="s">
        <v>34</v>
      </c>
      <c r="G148" s="8" t="s">
        <v>28</v>
      </c>
      <c r="H148" s="5" t="s">
        <v>29</v>
      </c>
      <c r="I148" s="5"/>
    </row>
    <row r="149" customFormat="false" ht="15" hidden="false" customHeight="false" outlineLevel="0" collapsed="false">
      <c r="A149" s="7" t="s">
        <v>114</v>
      </c>
      <c r="B149" s="7" t="s">
        <v>115</v>
      </c>
      <c r="C149" s="7" t="s">
        <v>24</v>
      </c>
      <c r="D149" s="7" t="s">
        <v>25</v>
      </c>
      <c r="E149" s="7" t="s">
        <v>21</v>
      </c>
      <c r="F149" s="7" t="s">
        <v>34</v>
      </c>
      <c r="G149" s="6" t="s">
        <v>23</v>
      </c>
      <c r="H149" s="7"/>
      <c r="I149" s="7"/>
    </row>
    <row r="150" customFormat="false" ht="15" hidden="false" customHeight="false" outlineLevel="0" collapsed="false">
      <c r="A150" s="5" t="s">
        <v>114</v>
      </c>
      <c r="B150" s="5" t="s">
        <v>115</v>
      </c>
      <c r="C150" s="5" t="s">
        <v>26</v>
      </c>
      <c r="D150" s="5" t="s">
        <v>27</v>
      </c>
      <c r="E150" s="5" t="s">
        <v>21</v>
      </c>
      <c r="F150" s="5" t="s">
        <v>34</v>
      </c>
      <c r="G150" s="8" t="s">
        <v>28</v>
      </c>
      <c r="H150" s="5" t="s">
        <v>29</v>
      </c>
      <c r="I150" s="5"/>
    </row>
    <row r="151" customFormat="false" ht="15" hidden="false" customHeight="false" outlineLevel="0" collapsed="false">
      <c r="A151" s="7" t="s">
        <v>114</v>
      </c>
      <c r="B151" s="7" t="s">
        <v>115</v>
      </c>
      <c r="C151" s="7" t="s">
        <v>30</v>
      </c>
      <c r="D151" s="7" t="s">
        <v>31</v>
      </c>
      <c r="E151" s="7" t="s">
        <v>21</v>
      </c>
      <c r="F151" s="7" t="s">
        <v>34</v>
      </c>
      <c r="G151" s="8" t="s">
        <v>28</v>
      </c>
      <c r="H151" s="7" t="s">
        <v>29</v>
      </c>
      <c r="I151" s="7"/>
    </row>
    <row r="152" customFormat="false" ht="15" hidden="false" customHeight="false" outlineLevel="0" collapsed="false">
      <c r="A152" s="5" t="s">
        <v>114</v>
      </c>
      <c r="B152" s="5" t="s">
        <v>115</v>
      </c>
      <c r="C152" s="5" t="s">
        <v>41</v>
      </c>
      <c r="D152" s="5" t="s">
        <v>66</v>
      </c>
      <c r="E152" s="5" t="s">
        <v>21</v>
      </c>
      <c r="F152" s="5" t="s">
        <v>34</v>
      </c>
      <c r="G152" s="6" t="s">
        <v>23</v>
      </c>
      <c r="H152" s="5"/>
      <c r="I152" s="5" t="s">
        <v>32</v>
      </c>
    </row>
    <row r="153" customFormat="false" ht="15" hidden="false" customHeight="false" outlineLevel="0" collapsed="false">
      <c r="A153" s="7" t="s">
        <v>114</v>
      </c>
      <c r="B153" s="7" t="s">
        <v>115</v>
      </c>
      <c r="C153" s="7" t="s">
        <v>44</v>
      </c>
      <c r="D153" s="7" t="s">
        <v>88</v>
      </c>
      <c r="E153" s="7" t="s">
        <v>21</v>
      </c>
      <c r="F153" s="7" t="s">
        <v>34</v>
      </c>
      <c r="G153" s="6" t="s">
        <v>23</v>
      </c>
      <c r="H153" s="7"/>
      <c r="I153" s="7" t="s">
        <v>32</v>
      </c>
    </row>
    <row r="154" customFormat="false" ht="15" hidden="false" customHeight="false" outlineLevel="0" collapsed="false">
      <c r="A154" s="5" t="s">
        <v>114</v>
      </c>
      <c r="B154" s="5" t="s">
        <v>115</v>
      </c>
      <c r="C154" s="5" t="s">
        <v>47</v>
      </c>
      <c r="D154" s="5" t="s">
        <v>89</v>
      </c>
      <c r="E154" s="5" t="s">
        <v>21</v>
      </c>
      <c r="F154" s="5" t="s">
        <v>34</v>
      </c>
      <c r="G154" s="8" t="s">
        <v>28</v>
      </c>
      <c r="H154" s="5" t="s">
        <v>29</v>
      </c>
      <c r="I154" s="5"/>
    </row>
    <row r="155" customFormat="false" ht="15" hidden="false" customHeight="false" outlineLevel="0" collapsed="false">
      <c r="A155" s="7" t="s">
        <v>116</v>
      </c>
      <c r="B155" s="7" t="s">
        <v>117</v>
      </c>
      <c r="C155" s="7" t="s">
        <v>19</v>
      </c>
      <c r="D155" s="7" t="s">
        <v>20</v>
      </c>
      <c r="E155" s="7" t="s">
        <v>21</v>
      </c>
      <c r="F155" s="7" t="s">
        <v>37</v>
      </c>
      <c r="G155" s="8" t="s">
        <v>28</v>
      </c>
      <c r="H155" s="7" t="s">
        <v>29</v>
      </c>
      <c r="I155" s="7"/>
    </row>
    <row r="156" customFormat="false" ht="15" hidden="false" customHeight="false" outlineLevel="0" collapsed="false">
      <c r="A156" s="5" t="s">
        <v>116</v>
      </c>
      <c r="B156" s="5" t="s">
        <v>117</v>
      </c>
      <c r="C156" s="5" t="s">
        <v>24</v>
      </c>
      <c r="D156" s="5" t="s">
        <v>25</v>
      </c>
      <c r="E156" s="5" t="s">
        <v>21</v>
      </c>
      <c r="F156" s="5" t="s">
        <v>37</v>
      </c>
      <c r="G156" s="8" t="s">
        <v>28</v>
      </c>
      <c r="H156" s="5" t="s">
        <v>29</v>
      </c>
      <c r="I156" s="5"/>
    </row>
    <row r="157" customFormat="false" ht="15" hidden="false" customHeight="false" outlineLevel="0" collapsed="false">
      <c r="A157" s="7" t="s">
        <v>116</v>
      </c>
      <c r="B157" s="7" t="s">
        <v>117</v>
      </c>
      <c r="C157" s="7" t="s">
        <v>26</v>
      </c>
      <c r="D157" s="7" t="s">
        <v>27</v>
      </c>
      <c r="E157" s="7" t="s">
        <v>21</v>
      </c>
      <c r="F157" s="7" t="s">
        <v>37</v>
      </c>
      <c r="G157" s="6" t="s">
        <v>23</v>
      </c>
      <c r="H157" s="7"/>
      <c r="I157" s="7"/>
    </row>
    <row r="158" customFormat="false" ht="15" hidden="false" customHeight="false" outlineLevel="0" collapsed="false">
      <c r="A158" s="5" t="s">
        <v>116</v>
      </c>
      <c r="B158" s="5" t="s">
        <v>117</v>
      </c>
      <c r="C158" s="5" t="s">
        <v>30</v>
      </c>
      <c r="D158" s="5" t="s">
        <v>31</v>
      </c>
      <c r="E158" s="5" t="s">
        <v>21</v>
      </c>
      <c r="F158" s="5" t="s">
        <v>37</v>
      </c>
      <c r="G158" s="8" t="s">
        <v>28</v>
      </c>
      <c r="H158" s="5" t="s">
        <v>29</v>
      </c>
      <c r="I158" s="5"/>
    </row>
    <row r="159" customFormat="false" ht="15" hidden="false" customHeight="false" outlineLevel="0" collapsed="false">
      <c r="A159" s="7" t="s">
        <v>116</v>
      </c>
      <c r="B159" s="7" t="s">
        <v>117</v>
      </c>
      <c r="C159" s="7" t="s">
        <v>41</v>
      </c>
      <c r="D159" s="7" t="s">
        <v>66</v>
      </c>
      <c r="E159" s="7" t="s">
        <v>21</v>
      </c>
      <c r="F159" s="7" t="s">
        <v>37</v>
      </c>
      <c r="G159" s="8" t="s">
        <v>28</v>
      </c>
      <c r="H159" s="7" t="s">
        <v>29</v>
      </c>
      <c r="I159" s="7"/>
    </row>
    <row r="160" customFormat="false" ht="15" hidden="false" customHeight="false" outlineLevel="0" collapsed="false">
      <c r="A160" s="5" t="s">
        <v>116</v>
      </c>
      <c r="B160" s="5" t="s">
        <v>117</v>
      </c>
      <c r="C160" s="5" t="s">
        <v>44</v>
      </c>
      <c r="D160" s="5" t="s">
        <v>88</v>
      </c>
      <c r="E160" s="5" t="s">
        <v>21</v>
      </c>
      <c r="F160" s="5" t="s">
        <v>37</v>
      </c>
      <c r="G160" s="8" t="s">
        <v>28</v>
      </c>
      <c r="H160" s="5" t="s">
        <v>29</v>
      </c>
      <c r="I160" s="5"/>
    </row>
    <row r="161" customFormat="false" ht="15" hidden="false" customHeight="false" outlineLevel="0" collapsed="false">
      <c r="A161" s="7" t="s">
        <v>116</v>
      </c>
      <c r="B161" s="7" t="s">
        <v>117</v>
      </c>
      <c r="C161" s="7" t="s">
        <v>47</v>
      </c>
      <c r="D161" s="7" t="s">
        <v>89</v>
      </c>
      <c r="E161" s="7" t="s">
        <v>21</v>
      </c>
      <c r="F161" s="7" t="s">
        <v>37</v>
      </c>
      <c r="G161" s="8" t="s">
        <v>28</v>
      </c>
      <c r="H161" s="7" t="s">
        <v>29</v>
      </c>
      <c r="I161" s="7"/>
    </row>
    <row r="162" customFormat="false" ht="15" hidden="false" customHeight="false" outlineLevel="0" collapsed="false">
      <c r="A162" s="5" t="s">
        <v>118</v>
      </c>
      <c r="B162" s="5" t="s">
        <v>119</v>
      </c>
      <c r="C162" s="5" t="s">
        <v>19</v>
      </c>
      <c r="D162" s="5" t="s">
        <v>20</v>
      </c>
      <c r="E162" s="5" t="s">
        <v>21</v>
      </c>
      <c r="F162" s="5" t="s">
        <v>39</v>
      </c>
      <c r="G162" s="8" t="s">
        <v>28</v>
      </c>
      <c r="H162" s="5" t="s">
        <v>29</v>
      </c>
      <c r="I162" s="5"/>
    </row>
    <row r="163" customFormat="false" ht="15" hidden="false" customHeight="false" outlineLevel="0" collapsed="false">
      <c r="A163" s="7" t="s">
        <v>118</v>
      </c>
      <c r="B163" s="7" t="s">
        <v>119</v>
      </c>
      <c r="C163" s="7" t="s">
        <v>24</v>
      </c>
      <c r="D163" s="7" t="s">
        <v>25</v>
      </c>
      <c r="E163" s="7" t="s">
        <v>21</v>
      </c>
      <c r="F163" s="7" t="s">
        <v>39</v>
      </c>
      <c r="G163" s="6" t="s">
        <v>23</v>
      </c>
      <c r="H163" s="7"/>
      <c r="I163" s="7"/>
    </row>
    <row r="164" customFormat="false" ht="15" hidden="false" customHeight="false" outlineLevel="0" collapsed="false">
      <c r="A164" s="5" t="s">
        <v>118</v>
      </c>
      <c r="B164" s="5" t="s">
        <v>119</v>
      </c>
      <c r="C164" s="5" t="s">
        <v>26</v>
      </c>
      <c r="D164" s="5" t="s">
        <v>27</v>
      </c>
      <c r="E164" s="5" t="s">
        <v>21</v>
      </c>
      <c r="F164" s="5" t="s">
        <v>39</v>
      </c>
      <c r="G164" s="8" t="s">
        <v>28</v>
      </c>
      <c r="H164" s="5" t="s">
        <v>29</v>
      </c>
      <c r="I164" s="5"/>
    </row>
    <row r="165" customFormat="false" ht="15" hidden="false" customHeight="false" outlineLevel="0" collapsed="false">
      <c r="A165" s="7" t="s">
        <v>118</v>
      </c>
      <c r="B165" s="7" t="s">
        <v>119</v>
      </c>
      <c r="C165" s="7" t="s">
        <v>30</v>
      </c>
      <c r="D165" s="7" t="s">
        <v>31</v>
      </c>
      <c r="E165" s="7" t="s">
        <v>21</v>
      </c>
      <c r="F165" s="7" t="s">
        <v>39</v>
      </c>
      <c r="G165" s="6" t="s">
        <v>23</v>
      </c>
      <c r="H165" s="7"/>
      <c r="I165" s="7" t="s">
        <v>35</v>
      </c>
    </row>
    <row r="166" customFormat="false" ht="15" hidden="false" customHeight="false" outlineLevel="0" collapsed="false">
      <c r="A166" s="5" t="s">
        <v>120</v>
      </c>
      <c r="B166" s="5" t="s">
        <v>121</v>
      </c>
      <c r="C166" s="5" t="s">
        <v>19</v>
      </c>
      <c r="D166" s="5" t="s">
        <v>20</v>
      </c>
      <c r="E166" s="5" t="s">
        <v>21</v>
      </c>
      <c r="F166" s="5" t="s">
        <v>42</v>
      </c>
      <c r="G166" s="8" t="s">
        <v>28</v>
      </c>
      <c r="H166" s="5" t="s">
        <v>29</v>
      </c>
      <c r="I166" s="5"/>
    </row>
    <row r="167" customFormat="false" ht="15" hidden="false" customHeight="false" outlineLevel="0" collapsed="false">
      <c r="A167" s="7" t="s">
        <v>120</v>
      </c>
      <c r="B167" s="7" t="s">
        <v>121</v>
      </c>
      <c r="C167" s="7" t="s">
        <v>24</v>
      </c>
      <c r="D167" s="7" t="s">
        <v>25</v>
      </c>
      <c r="E167" s="7" t="s">
        <v>21</v>
      </c>
      <c r="F167" s="7" t="s">
        <v>42</v>
      </c>
      <c r="G167" s="6" t="s">
        <v>23</v>
      </c>
      <c r="H167" s="7"/>
      <c r="I167" s="7" t="s">
        <v>35</v>
      </c>
    </row>
    <row r="168" customFormat="false" ht="15" hidden="false" customHeight="false" outlineLevel="0" collapsed="false">
      <c r="A168" s="5" t="s">
        <v>120</v>
      </c>
      <c r="B168" s="5" t="s">
        <v>121</v>
      </c>
      <c r="C168" s="5" t="s">
        <v>26</v>
      </c>
      <c r="D168" s="5" t="s">
        <v>27</v>
      </c>
      <c r="E168" s="5" t="s">
        <v>21</v>
      </c>
      <c r="F168" s="5" t="s">
        <v>42</v>
      </c>
      <c r="G168" s="6" t="s">
        <v>23</v>
      </c>
      <c r="H168" s="5"/>
      <c r="I168" s="5"/>
    </row>
    <row r="169" customFormat="false" ht="15" hidden="false" customHeight="false" outlineLevel="0" collapsed="false">
      <c r="A169" s="7" t="s">
        <v>122</v>
      </c>
      <c r="B169" s="7" t="s">
        <v>123</v>
      </c>
      <c r="C169" s="7" t="s">
        <v>19</v>
      </c>
      <c r="D169" s="7" t="s">
        <v>20</v>
      </c>
      <c r="E169" s="7" t="s">
        <v>21</v>
      </c>
      <c r="F169" s="7" t="s">
        <v>45</v>
      </c>
      <c r="G169" s="6" t="s">
        <v>23</v>
      </c>
      <c r="H169" s="7"/>
      <c r="I169" s="7"/>
    </row>
    <row r="170" customFormat="false" ht="15" hidden="false" customHeight="false" outlineLevel="0" collapsed="false">
      <c r="A170" s="5" t="s">
        <v>122</v>
      </c>
      <c r="B170" s="5" t="s">
        <v>123</v>
      </c>
      <c r="C170" s="5" t="s">
        <v>24</v>
      </c>
      <c r="D170" s="5" t="s">
        <v>25</v>
      </c>
      <c r="E170" s="5" t="s">
        <v>21</v>
      </c>
      <c r="F170" s="5" t="s">
        <v>45</v>
      </c>
      <c r="G170" s="8" t="s">
        <v>28</v>
      </c>
      <c r="H170" s="5" t="s">
        <v>29</v>
      </c>
      <c r="I170" s="5"/>
    </row>
    <row r="171" customFormat="false" ht="15" hidden="false" customHeight="false" outlineLevel="0" collapsed="false">
      <c r="A171" s="7" t="s">
        <v>122</v>
      </c>
      <c r="B171" s="7" t="s">
        <v>123</v>
      </c>
      <c r="C171" s="7" t="s">
        <v>26</v>
      </c>
      <c r="D171" s="7" t="s">
        <v>27</v>
      </c>
      <c r="E171" s="7" t="s">
        <v>21</v>
      </c>
      <c r="F171" s="7" t="s">
        <v>45</v>
      </c>
      <c r="G171" s="8" t="s">
        <v>28</v>
      </c>
      <c r="H171" s="7" t="s">
        <v>29</v>
      </c>
      <c r="I171" s="7"/>
    </row>
    <row r="172" customFormat="false" ht="15" hidden="false" customHeight="false" outlineLevel="0" collapsed="false">
      <c r="A172" s="5" t="s">
        <v>124</v>
      </c>
      <c r="B172" s="5" t="s">
        <v>125</v>
      </c>
      <c r="C172" s="5" t="s">
        <v>19</v>
      </c>
      <c r="D172" s="5" t="s">
        <v>20</v>
      </c>
      <c r="E172" s="5" t="s">
        <v>21</v>
      </c>
      <c r="F172" s="5" t="s">
        <v>22</v>
      </c>
      <c r="G172" s="8" t="s">
        <v>28</v>
      </c>
      <c r="H172" s="5" t="s">
        <v>29</v>
      </c>
      <c r="I172" s="5"/>
    </row>
    <row r="173" customFormat="false" ht="15" hidden="false" customHeight="false" outlineLevel="0" collapsed="false">
      <c r="A173" s="7" t="s">
        <v>124</v>
      </c>
      <c r="B173" s="7" t="s">
        <v>125</v>
      </c>
      <c r="C173" s="7" t="s">
        <v>24</v>
      </c>
      <c r="D173" s="7" t="s">
        <v>25</v>
      </c>
      <c r="E173" s="7" t="s">
        <v>21</v>
      </c>
      <c r="F173" s="7" t="s">
        <v>22</v>
      </c>
      <c r="G173" s="6" t="s">
        <v>23</v>
      </c>
      <c r="H173" s="7"/>
      <c r="I173" s="7"/>
    </row>
    <row r="174" customFormat="false" ht="15" hidden="false" customHeight="false" outlineLevel="0" collapsed="false">
      <c r="A174" s="5" t="s">
        <v>124</v>
      </c>
      <c r="B174" s="5" t="s">
        <v>125</v>
      </c>
      <c r="C174" s="5" t="s">
        <v>26</v>
      </c>
      <c r="D174" s="5" t="s">
        <v>27</v>
      </c>
      <c r="E174" s="5" t="s">
        <v>21</v>
      </c>
      <c r="F174" s="5" t="s">
        <v>22</v>
      </c>
      <c r="G174" s="8" t="s">
        <v>28</v>
      </c>
      <c r="H174" s="5" t="s">
        <v>29</v>
      </c>
      <c r="I174" s="5"/>
    </row>
    <row r="175" customFormat="false" ht="15" hidden="false" customHeight="false" outlineLevel="0" collapsed="false">
      <c r="A175" s="7" t="s">
        <v>124</v>
      </c>
      <c r="B175" s="7" t="s">
        <v>125</v>
      </c>
      <c r="C175" s="7" t="s">
        <v>30</v>
      </c>
      <c r="D175" s="7" t="s">
        <v>31</v>
      </c>
      <c r="E175" s="7" t="s">
        <v>21</v>
      </c>
      <c r="F175" s="7" t="s">
        <v>22</v>
      </c>
      <c r="G175" s="8" t="s">
        <v>28</v>
      </c>
      <c r="H175" s="7" t="s">
        <v>29</v>
      </c>
      <c r="I175" s="7"/>
    </row>
    <row r="176" customFormat="false" ht="15" hidden="false" customHeight="false" outlineLevel="0" collapsed="false">
      <c r="A176" s="5" t="s">
        <v>124</v>
      </c>
      <c r="B176" s="5" t="s">
        <v>125</v>
      </c>
      <c r="C176" s="5" t="s">
        <v>41</v>
      </c>
      <c r="D176" s="5" t="s">
        <v>66</v>
      </c>
      <c r="E176" s="5" t="s">
        <v>21</v>
      </c>
      <c r="F176" s="5" t="s">
        <v>22</v>
      </c>
      <c r="G176" s="8" t="s">
        <v>28</v>
      </c>
      <c r="H176" s="5" t="s">
        <v>29</v>
      </c>
      <c r="I176" s="5"/>
    </row>
    <row r="177" customFormat="false" ht="15" hidden="false" customHeight="false" outlineLevel="0" collapsed="false">
      <c r="A177" s="7" t="s">
        <v>126</v>
      </c>
      <c r="B177" s="7" t="s">
        <v>127</v>
      </c>
      <c r="C177" s="7" t="s">
        <v>19</v>
      </c>
      <c r="D177" s="7" t="s">
        <v>20</v>
      </c>
      <c r="E177" s="7" t="s">
        <v>21</v>
      </c>
      <c r="F177" s="7" t="s">
        <v>34</v>
      </c>
      <c r="G177" s="6" t="s">
        <v>23</v>
      </c>
      <c r="H177" s="7"/>
      <c r="I177" s="7"/>
    </row>
    <row r="178" customFormat="false" ht="15" hidden="false" customHeight="false" outlineLevel="0" collapsed="false">
      <c r="A178" s="5" t="s">
        <v>126</v>
      </c>
      <c r="B178" s="5" t="s">
        <v>127</v>
      </c>
      <c r="C178" s="5" t="s">
        <v>24</v>
      </c>
      <c r="D178" s="5" t="s">
        <v>25</v>
      </c>
      <c r="E178" s="5" t="s">
        <v>21</v>
      </c>
      <c r="F178" s="5" t="s">
        <v>34</v>
      </c>
      <c r="G178" s="8" t="s">
        <v>28</v>
      </c>
      <c r="H178" s="5" t="s">
        <v>29</v>
      </c>
      <c r="I178" s="5"/>
    </row>
    <row r="179" customFormat="false" ht="15" hidden="false" customHeight="false" outlineLevel="0" collapsed="false">
      <c r="A179" s="7" t="s">
        <v>126</v>
      </c>
      <c r="B179" s="7" t="s">
        <v>127</v>
      </c>
      <c r="C179" s="7" t="s">
        <v>26</v>
      </c>
      <c r="D179" s="7" t="s">
        <v>27</v>
      </c>
      <c r="E179" s="7" t="s">
        <v>21</v>
      </c>
      <c r="F179" s="7" t="s">
        <v>34</v>
      </c>
      <c r="G179" s="8" t="s">
        <v>28</v>
      </c>
      <c r="H179" s="7" t="s">
        <v>29</v>
      </c>
      <c r="I179" s="7"/>
    </row>
    <row r="180" customFormat="false" ht="15" hidden="false" customHeight="false" outlineLevel="0" collapsed="false">
      <c r="A180" s="5" t="s">
        <v>128</v>
      </c>
      <c r="B180" s="5" t="s">
        <v>129</v>
      </c>
      <c r="C180" s="5" t="s">
        <v>19</v>
      </c>
      <c r="D180" s="5" t="s">
        <v>20</v>
      </c>
      <c r="E180" s="5" t="s">
        <v>21</v>
      </c>
      <c r="F180" s="5" t="s">
        <v>37</v>
      </c>
      <c r="G180" s="6" t="s">
        <v>23</v>
      </c>
      <c r="H180" s="5"/>
      <c r="I180" s="5"/>
    </row>
    <row r="181" customFormat="false" ht="15" hidden="false" customHeight="false" outlineLevel="0" collapsed="false">
      <c r="A181" s="7" t="s">
        <v>128</v>
      </c>
      <c r="B181" s="7" t="s">
        <v>129</v>
      </c>
      <c r="C181" s="7" t="s">
        <v>24</v>
      </c>
      <c r="D181" s="7" t="s">
        <v>25</v>
      </c>
      <c r="E181" s="7" t="s">
        <v>21</v>
      </c>
      <c r="F181" s="7" t="s">
        <v>37</v>
      </c>
      <c r="G181" s="8" t="s">
        <v>28</v>
      </c>
      <c r="H181" s="7" t="s">
        <v>29</v>
      </c>
      <c r="I181" s="7"/>
    </row>
    <row r="182" customFormat="false" ht="15" hidden="false" customHeight="false" outlineLevel="0" collapsed="false">
      <c r="A182" s="5" t="s">
        <v>128</v>
      </c>
      <c r="B182" s="5" t="s">
        <v>129</v>
      </c>
      <c r="C182" s="5" t="s">
        <v>26</v>
      </c>
      <c r="D182" s="5" t="s">
        <v>27</v>
      </c>
      <c r="E182" s="5" t="s">
        <v>21</v>
      </c>
      <c r="F182" s="5" t="s">
        <v>37</v>
      </c>
      <c r="G182" s="6" t="s">
        <v>23</v>
      </c>
      <c r="H182" s="5"/>
      <c r="I182" s="5"/>
    </row>
    <row r="183" customFormat="false" ht="15" hidden="false" customHeight="false" outlineLevel="0" collapsed="false">
      <c r="A183" s="7" t="s">
        <v>128</v>
      </c>
      <c r="B183" s="7" t="s">
        <v>129</v>
      </c>
      <c r="C183" s="7" t="s">
        <v>30</v>
      </c>
      <c r="D183" s="7" t="s">
        <v>31</v>
      </c>
      <c r="E183" s="7" t="s">
        <v>21</v>
      </c>
      <c r="F183" s="7" t="s">
        <v>37</v>
      </c>
      <c r="G183" s="8" t="s">
        <v>28</v>
      </c>
      <c r="H183" s="7" t="s">
        <v>29</v>
      </c>
      <c r="I183" s="7"/>
    </row>
    <row r="184" customFormat="false" ht="15" hidden="false" customHeight="false" outlineLevel="0" collapsed="false">
      <c r="A184" s="5" t="s">
        <v>128</v>
      </c>
      <c r="B184" s="5" t="s">
        <v>129</v>
      </c>
      <c r="C184" s="5" t="s">
        <v>41</v>
      </c>
      <c r="D184" s="5" t="s">
        <v>66</v>
      </c>
      <c r="E184" s="5" t="s">
        <v>21</v>
      </c>
      <c r="F184" s="5" t="s">
        <v>37</v>
      </c>
      <c r="G184" s="8" t="s">
        <v>28</v>
      </c>
      <c r="H184" s="5" t="s">
        <v>29</v>
      </c>
      <c r="I184" s="5"/>
    </row>
    <row r="185" customFormat="false" ht="15" hidden="false" customHeight="false" outlineLevel="0" collapsed="false">
      <c r="A185" s="7" t="s">
        <v>130</v>
      </c>
      <c r="B185" s="7" t="s">
        <v>131</v>
      </c>
      <c r="C185" s="7" t="s">
        <v>19</v>
      </c>
      <c r="D185" s="7" t="s">
        <v>20</v>
      </c>
      <c r="E185" s="7" t="s">
        <v>21</v>
      </c>
      <c r="F185" s="7" t="s">
        <v>39</v>
      </c>
      <c r="G185" s="8" t="s">
        <v>28</v>
      </c>
      <c r="H185" s="7" t="s">
        <v>29</v>
      </c>
      <c r="I185" s="7"/>
    </row>
    <row r="186" customFormat="false" ht="15" hidden="false" customHeight="false" outlineLevel="0" collapsed="false">
      <c r="A186" s="5" t="s">
        <v>130</v>
      </c>
      <c r="B186" s="5" t="s">
        <v>131</v>
      </c>
      <c r="C186" s="5" t="s">
        <v>24</v>
      </c>
      <c r="D186" s="5" t="s">
        <v>25</v>
      </c>
      <c r="E186" s="5" t="s">
        <v>21</v>
      </c>
      <c r="F186" s="5" t="s">
        <v>39</v>
      </c>
      <c r="G186" s="6" t="s">
        <v>23</v>
      </c>
      <c r="H186" s="5"/>
      <c r="I186" s="5"/>
    </row>
    <row r="187" customFormat="false" ht="15" hidden="false" customHeight="false" outlineLevel="0" collapsed="false">
      <c r="A187" s="7" t="s">
        <v>130</v>
      </c>
      <c r="B187" s="7" t="s">
        <v>131</v>
      </c>
      <c r="C187" s="7" t="s">
        <v>26</v>
      </c>
      <c r="D187" s="7" t="s">
        <v>27</v>
      </c>
      <c r="E187" s="7" t="s">
        <v>21</v>
      </c>
      <c r="F187" s="7" t="s">
        <v>39</v>
      </c>
      <c r="G187" s="6" t="s">
        <v>23</v>
      </c>
      <c r="H187" s="7"/>
      <c r="I187" s="7"/>
    </row>
    <row r="188" customFormat="false" ht="15" hidden="false" customHeight="false" outlineLevel="0" collapsed="false">
      <c r="A188" s="5" t="s">
        <v>130</v>
      </c>
      <c r="B188" s="5" t="s">
        <v>131</v>
      </c>
      <c r="C188" s="5" t="s">
        <v>30</v>
      </c>
      <c r="D188" s="5" t="s">
        <v>31</v>
      </c>
      <c r="E188" s="5" t="s">
        <v>21</v>
      </c>
      <c r="F188" s="5" t="s">
        <v>39</v>
      </c>
      <c r="G188" s="8" t="s">
        <v>28</v>
      </c>
      <c r="H188" s="5" t="s">
        <v>29</v>
      </c>
      <c r="I188" s="5"/>
    </row>
    <row r="189" customFormat="false" ht="15" hidden="false" customHeight="false" outlineLevel="0" collapsed="false">
      <c r="A189" s="7" t="s">
        <v>130</v>
      </c>
      <c r="B189" s="7" t="s">
        <v>131</v>
      </c>
      <c r="C189" s="7" t="s">
        <v>41</v>
      </c>
      <c r="D189" s="7" t="s">
        <v>66</v>
      </c>
      <c r="E189" s="7" t="s">
        <v>21</v>
      </c>
      <c r="F189" s="7" t="s">
        <v>39</v>
      </c>
      <c r="G189" s="8" t="s">
        <v>28</v>
      </c>
      <c r="H189" s="7" t="s">
        <v>29</v>
      </c>
      <c r="I189" s="7"/>
    </row>
    <row r="190" customFormat="false" ht="15" hidden="false" customHeight="false" outlineLevel="0" collapsed="false">
      <c r="A190" s="5" t="s">
        <v>130</v>
      </c>
      <c r="B190" s="5" t="s">
        <v>131</v>
      </c>
      <c r="C190" s="5" t="s">
        <v>44</v>
      </c>
      <c r="D190" s="5" t="s">
        <v>88</v>
      </c>
      <c r="E190" s="5" t="s">
        <v>21</v>
      </c>
      <c r="F190" s="5" t="s">
        <v>39</v>
      </c>
      <c r="G190" s="6" t="s">
        <v>23</v>
      </c>
      <c r="H190" s="5"/>
      <c r="I190" s="5" t="s">
        <v>35</v>
      </c>
    </row>
    <row r="191" customFormat="false" ht="15" hidden="false" customHeight="false" outlineLevel="0" collapsed="false">
      <c r="A191" s="7" t="s">
        <v>132</v>
      </c>
      <c r="B191" s="7" t="s">
        <v>133</v>
      </c>
      <c r="C191" s="7" t="s">
        <v>19</v>
      </c>
      <c r="D191" s="7" t="s">
        <v>20</v>
      </c>
      <c r="E191" s="7" t="s">
        <v>21</v>
      </c>
      <c r="F191" s="7" t="s">
        <v>42</v>
      </c>
      <c r="G191" s="8" t="s">
        <v>28</v>
      </c>
      <c r="H191" s="7" t="s">
        <v>29</v>
      </c>
      <c r="I191" s="7"/>
    </row>
    <row r="192" customFormat="false" ht="15" hidden="false" customHeight="false" outlineLevel="0" collapsed="false">
      <c r="A192" s="5" t="s">
        <v>132</v>
      </c>
      <c r="B192" s="5" t="s">
        <v>133</v>
      </c>
      <c r="C192" s="5" t="s">
        <v>24</v>
      </c>
      <c r="D192" s="5" t="s">
        <v>25</v>
      </c>
      <c r="E192" s="5" t="s">
        <v>21</v>
      </c>
      <c r="F192" s="5" t="s">
        <v>42</v>
      </c>
      <c r="G192" s="6" t="s">
        <v>23</v>
      </c>
      <c r="H192" s="5"/>
      <c r="I192" s="5"/>
    </row>
    <row r="193" customFormat="false" ht="15" hidden="false" customHeight="false" outlineLevel="0" collapsed="false">
      <c r="A193" s="7" t="s">
        <v>132</v>
      </c>
      <c r="B193" s="7" t="s">
        <v>133</v>
      </c>
      <c r="C193" s="7" t="s">
        <v>26</v>
      </c>
      <c r="D193" s="7" t="s">
        <v>27</v>
      </c>
      <c r="E193" s="7" t="s">
        <v>21</v>
      </c>
      <c r="F193" s="7" t="s">
        <v>42</v>
      </c>
      <c r="G193" s="6" t="s">
        <v>23</v>
      </c>
      <c r="H193" s="7"/>
      <c r="I193" s="7"/>
    </row>
    <row r="194" customFormat="false" ht="15" hidden="false" customHeight="false" outlineLevel="0" collapsed="false">
      <c r="A194" s="5" t="s">
        <v>132</v>
      </c>
      <c r="B194" s="5" t="s">
        <v>133</v>
      </c>
      <c r="C194" s="5" t="s">
        <v>30</v>
      </c>
      <c r="D194" s="5" t="s">
        <v>31</v>
      </c>
      <c r="E194" s="5" t="s">
        <v>21</v>
      </c>
      <c r="F194" s="5" t="s">
        <v>42</v>
      </c>
      <c r="G194" s="8" t="s">
        <v>28</v>
      </c>
      <c r="H194" s="5" t="s">
        <v>29</v>
      </c>
      <c r="I194" s="5"/>
    </row>
    <row r="195" customFormat="false" ht="15" hidden="false" customHeight="false" outlineLevel="0" collapsed="false">
      <c r="A195" s="7" t="s">
        <v>132</v>
      </c>
      <c r="B195" s="7" t="s">
        <v>133</v>
      </c>
      <c r="C195" s="7" t="s">
        <v>41</v>
      </c>
      <c r="D195" s="7" t="s">
        <v>66</v>
      </c>
      <c r="E195" s="7" t="s">
        <v>21</v>
      </c>
      <c r="F195" s="7" t="s">
        <v>42</v>
      </c>
      <c r="G195" s="6" t="s">
        <v>23</v>
      </c>
      <c r="H195" s="7"/>
      <c r="I195" s="7"/>
    </row>
    <row r="196" customFormat="false" ht="15" hidden="false" customHeight="false" outlineLevel="0" collapsed="false">
      <c r="A196" s="5" t="s">
        <v>134</v>
      </c>
      <c r="B196" s="5" t="s">
        <v>135</v>
      </c>
      <c r="C196" s="5" t="s">
        <v>19</v>
      </c>
      <c r="D196" s="5" t="s">
        <v>20</v>
      </c>
      <c r="E196" s="5" t="s">
        <v>21</v>
      </c>
      <c r="F196" s="5" t="s">
        <v>45</v>
      </c>
      <c r="G196" s="8" t="s">
        <v>28</v>
      </c>
      <c r="H196" s="5" t="s">
        <v>29</v>
      </c>
      <c r="I196" s="5"/>
    </row>
    <row r="197" customFormat="false" ht="15" hidden="false" customHeight="false" outlineLevel="0" collapsed="false">
      <c r="A197" s="7" t="s">
        <v>134</v>
      </c>
      <c r="B197" s="7" t="s">
        <v>135</v>
      </c>
      <c r="C197" s="7" t="s">
        <v>24</v>
      </c>
      <c r="D197" s="7" t="s">
        <v>25</v>
      </c>
      <c r="E197" s="7" t="s">
        <v>21</v>
      </c>
      <c r="F197" s="7" t="s">
        <v>45</v>
      </c>
      <c r="G197" s="6" t="s">
        <v>23</v>
      </c>
      <c r="H197" s="7"/>
      <c r="I197" s="7" t="s">
        <v>35</v>
      </c>
    </row>
    <row r="198" customFormat="false" ht="15" hidden="false" customHeight="false" outlineLevel="0" collapsed="false">
      <c r="A198" s="5" t="s">
        <v>134</v>
      </c>
      <c r="B198" s="5" t="s">
        <v>135</v>
      </c>
      <c r="C198" s="5" t="s">
        <v>26</v>
      </c>
      <c r="D198" s="5" t="s">
        <v>27</v>
      </c>
      <c r="E198" s="5" t="s">
        <v>21</v>
      </c>
      <c r="F198" s="5" t="s">
        <v>45</v>
      </c>
      <c r="G198" s="8" t="s">
        <v>28</v>
      </c>
      <c r="H198" s="5" t="s">
        <v>29</v>
      </c>
      <c r="I198" s="5"/>
    </row>
    <row r="199" customFormat="false" ht="15" hidden="false" customHeight="false" outlineLevel="0" collapsed="false">
      <c r="A199" s="7" t="s">
        <v>134</v>
      </c>
      <c r="B199" s="7" t="s">
        <v>135</v>
      </c>
      <c r="C199" s="7" t="s">
        <v>30</v>
      </c>
      <c r="D199" s="7" t="s">
        <v>31</v>
      </c>
      <c r="E199" s="7" t="s">
        <v>21</v>
      </c>
      <c r="F199" s="7" t="s">
        <v>45</v>
      </c>
      <c r="G199" s="8" t="s">
        <v>28</v>
      </c>
      <c r="H199" s="7" t="s">
        <v>29</v>
      </c>
      <c r="I199" s="7"/>
    </row>
    <row r="200" customFormat="false" ht="15" hidden="false" customHeight="false" outlineLevel="0" collapsed="false">
      <c r="A200" s="5" t="s">
        <v>134</v>
      </c>
      <c r="B200" s="5" t="s">
        <v>135</v>
      </c>
      <c r="C200" s="5" t="s">
        <v>41</v>
      </c>
      <c r="D200" s="5" t="s">
        <v>66</v>
      </c>
      <c r="E200" s="5" t="s">
        <v>21</v>
      </c>
      <c r="F200" s="5" t="s">
        <v>45</v>
      </c>
      <c r="G200" s="8" t="s">
        <v>28</v>
      </c>
      <c r="H200" s="5" t="s">
        <v>29</v>
      </c>
      <c r="I200" s="5"/>
    </row>
    <row r="201" customFormat="false" ht="15" hidden="false" customHeight="false" outlineLevel="0" collapsed="false">
      <c r="A201" s="7" t="s">
        <v>136</v>
      </c>
      <c r="B201" s="7" t="s">
        <v>137</v>
      </c>
      <c r="C201" s="7" t="s">
        <v>19</v>
      </c>
      <c r="D201" s="7" t="s">
        <v>20</v>
      </c>
      <c r="E201" s="7" t="s">
        <v>21</v>
      </c>
      <c r="F201" s="7" t="s">
        <v>22</v>
      </c>
      <c r="G201" s="8" t="s">
        <v>28</v>
      </c>
      <c r="H201" s="7" t="s">
        <v>29</v>
      </c>
      <c r="I201" s="7"/>
    </row>
    <row r="202" customFormat="false" ht="15" hidden="false" customHeight="false" outlineLevel="0" collapsed="false">
      <c r="A202" s="5" t="s">
        <v>136</v>
      </c>
      <c r="B202" s="5" t="s">
        <v>137</v>
      </c>
      <c r="C202" s="5" t="s">
        <v>24</v>
      </c>
      <c r="D202" s="5" t="s">
        <v>25</v>
      </c>
      <c r="E202" s="5" t="s">
        <v>21</v>
      </c>
      <c r="F202" s="5" t="s">
        <v>22</v>
      </c>
      <c r="G202" s="8" t="s">
        <v>28</v>
      </c>
      <c r="H202" s="5" t="s">
        <v>29</v>
      </c>
      <c r="I202" s="5"/>
    </row>
    <row r="203" customFormat="false" ht="15" hidden="false" customHeight="false" outlineLevel="0" collapsed="false">
      <c r="A203" s="7" t="s">
        <v>136</v>
      </c>
      <c r="B203" s="7" t="s">
        <v>137</v>
      </c>
      <c r="C203" s="7" t="s">
        <v>26</v>
      </c>
      <c r="D203" s="7" t="s">
        <v>27</v>
      </c>
      <c r="E203" s="7" t="s">
        <v>21</v>
      </c>
      <c r="F203" s="7" t="s">
        <v>22</v>
      </c>
      <c r="G203" s="8" t="s">
        <v>28</v>
      </c>
      <c r="H203" s="7" t="s">
        <v>29</v>
      </c>
      <c r="I203" s="7"/>
    </row>
    <row r="204" customFormat="false" ht="15" hidden="false" customHeight="false" outlineLevel="0" collapsed="false">
      <c r="A204" s="5" t="s">
        <v>138</v>
      </c>
      <c r="B204" s="5" t="s">
        <v>139</v>
      </c>
      <c r="C204" s="5" t="s">
        <v>19</v>
      </c>
      <c r="D204" s="5" t="s">
        <v>20</v>
      </c>
      <c r="E204" s="5" t="s">
        <v>21</v>
      </c>
      <c r="F204" s="5" t="s">
        <v>34</v>
      </c>
      <c r="G204" s="6" t="s">
        <v>23</v>
      </c>
      <c r="H204" s="5"/>
      <c r="I204" s="5"/>
    </row>
    <row r="205" customFormat="false" ht="15" hidden="false" customHeight="false" outlineLevel="0" collapsed="false">
      <c r="A205" s="7" t="s">
        <v>138</v>
      </c>
      <c r="B205" s="7" t="s">
        <v>139</v>
      </c>
      <c r="C205" s="7" t="s">
        <v>24</v>
      </c>
      <c r="D205" s="7" t="s">
        <v>25</v>
      </c>
      <c r="E205" s="7" t="s">
        <v>21</v>
      </c>
      <c r="F205" s="7" t="s">
        <v>34</v>
      </c>
      <c r="G205" s="6" t="s">
        <v>23</v>
      </c>
      <c r="H205" s="7"/>
      <c r="I205" s="7"/>
    </row>
    <row r="206" customFormat="false" ht="15" hidden="false" customHeight="false" outlineLevel="0" collapsed="false">
      <c r="A206" s="5" t="s">
        <v>138</v>
      </c>
      <c r="B206" s="5" t="s">
        <v>139</v>
      </c>
      <c r="C206" s="5" t="s">
        <v>26</v>
      </c>
      <c r="D206" s="5" t="s">
        <v>27</v>
      </c>
      <c r="E206" s="5" t="s">
        <v>21</v>
      </c>
      <c r="F206" s="5" t="s">
        <v>34</v>
      </c>
      <c r="G206" s="8" t="s">
        <v>28</v>
      </c>
      <c r="H206" s="5" t="s">
        <v>29</v>
      </c>
      <c r="I206" s="5"/>
    </row>
    <row r="207" customFormat="false" ht="15" hidden="false" customHeight="false" outlineLevel="0" collapsed="false">
      <c r="A207" s="7" t="s">
        <v>138</v>
      </c>
      <c r="B207" s="7" t="s">
        <v>139</v>
      </c>
      <c r="C207" s="7" t="s">
        <v>30</v>
      </c>
      <c r="D207" s="7" t="s">
        <v>31</v>
      </c>
      <c r="E207" s="7" t="s">
        <v>21</v>
      </c>
      <c r="F207" s="7" t="s">
        <v>34</v>
      </c>
      <c r="G207" s="8" t="s">
        <v>28</v>
      </c>
      <c r="H207" s="7" t="s">
        <v>29</v>
      </c>
      <c r="I207" s="7"/>
    </row>
    <row r="208" customFormat="false" ht="15" hidden="false" customHeight="false" outlineLevel="0" collapsed="false">
      <c r="A208" s="5" t="s">
        <v>138</v>
      </c>
      <c r="B208" s="5" t="s">
        <v>139</v>
      </c>
      <c r="C208" s="5" t="s">
        <v>41</v>
      </c>
      <c r="D208" s="5" t="s">
        <v>66</v>
      </c>
      <c r="E208" s="5" t="s">
        <v>21</v>
      </c>
      <c r="F208" s="5" t="s">
        <v>34</v>
      </c>
      <c r="G208" s="6" t="s">
        <v>23</v>
      </c>
      <c r="H208" s="5"/>
      <c r="I208" s="5"/>
    </row>
    <row r="209" customFormat="false" ht="15" hidden="false" customHeight="false" outlineLevel="0" collapsed="false">
      <c r="A209" s="7" t="s">
        <v>140</v>
      </c>
      <c r="B209" s="7" t="s">
        <v>141</v>
      </c>
      <c r="C209" s="7" t="s">
        <v>19</v>
      </c>
      <c r="D209" s="7" t="s">
        <v>20</v>
      </c>
      <c r="E209" s="7" t="s">
        <v>21</v>
      </c>
      <c r="F209" s="7" t="s">
        <v>37</v>
      </c>
      <c r="G209" s="8" t="s">
        <v>28</v>
      </c>
      <c r="H209" s="7" t="s">
        <v>29</v>
      </c>
      <c r="I209" s="7"/>
    </row>
    <row r="210" customFormat="false" ht="15" hidden="false" customHeight="false" outlineLevel="0" collapsed="false">
      <c r="A210" s="5" t="s">
        <v>140</v>
      </c>
      <c r="B210" s="5" t="s">
        <v>141</v>
      </c>
      <c r="C210" s="5" t="s">
        <v>24</v>
      </c>
      <c r="D210" s="5" t="s">
        <v>25</v>
      </c>
      <c r="E210" s="5" t="s">
        <v>21</v>
      </c>
      <c r="F210" s="5" t="s">
        <v>37</v>
      </c>
      <c r="G210" s="6" t="s">
        <v>23</v>
      </c>
      <c r="H210" s="5"/>
      <c r="I210" s="5"/>
    </row>
    <row r="211" customFormat="false" ht="15" hidden="false" customHeight="false" outlineLevel="0" collapsed="false">
      <c r="A211" s="7" t="s">
        <v>140</v>
      </c>
      <c r="B211" s="7" t="s">
        <v>141</v>
      </c>
      <c r="C211" s="7" t="s">
        <v>26</v>
      </c>
      <c r="D211" s="7" t="s">
        <v>27</v>
      </c>
      <c r="E211" s="7" t="s">
        <v>21</v>
      </c>
      <c r="F211" s="7" t="s">
        <v>37</v>
      </c>
      <c r="G211" s="8" t="s">
        <v>28</v>
      </c>
      <c r="H211" s="7" t="s">
        <v>29</v>
      </c>
      <c r="I211" s="7"/>
    </row>
    <row r="212" customFormat="false" ht="15" hidden="false" customHeight="false" outlineLevel="0" collapsed="false">
      <c r="A212" s="5" t="s">
        <v>140</v>
      </c>
      <c r="B212" s="5" t="s">
        <v>141</v>
      </c>
      <c r="C212" s="5" t="s">
        <v>30</v>
      </c>
      <c r="D212" s="5" t="s">
        <v>31</v>
      </c>
      <c r="E212" s="5" t="s">
        <v>21</v>
      </c>
      <c r="F212" s="5" t="s">
        <v>37</v>
      </c>
      <c r="G212" s="6" t="s">
        <v>23</v>
      </c>
      <c r="H212" s="5"/>
      <c r="I212" s="5" t="s">
        <v>35</v>
      </c>
    </row>
    <row r="213" customFormat="false" ht="15" hidden="false" customHeight="false" outlineLevel="0" collapsed="false">
      <c r="A213" s="7" t="s">
        <v>140</v>
      </c>
      <c r="B213" s="7" t="s">
        <v>141</v>
      </c>
      <c r="C213" s="7" t="s">
        <v>41</v>
      </c>
      <c r="D213" s="7" t="s">
        <v>66</v>
      </c>
      <c r="E213" s="7" t="s">
        <v>21</v>
      </c>
      <c r="F213" s="7" t="s">
        <v>37</v>
      </c>
      <c r="G213" s="6" t="s">
        <v>23</v>
      </c>
      <c r="H213" s="7"/>
      <c r="I213" s="7"/>
    </row>
    <row r="214" customFormat="false" ht="15" hidden="false" customHeight="false" outlineLevel="0" collapsed="false">
      <c r="A214" s="5" t="s">
        <v>142</v>
      </c>
      <c r="B214" s="5" t="s">
        <v>143</v>
      </c>
      <c r="C214" s="5" t="s">
        <v>19</v>
      </c>
      <c r="D214" s="5" t="s">
        <v>20</v>
      </c>
      <c r="E214" s="5" t="s">
        <v>21</v>
      </c>
      <c r="F214" s="5" t="s">
        <v>39</v>
      </c>
      <c r="G214" s="8" t="s">
        <v>28</v>
      </c>
      <c r="H214" s="5" t="s">
        <v>29</v>
      </c>
      <c r="I214" s="5"/>
    </row>
    <row r="215" customFormat="false" ht="15" hidden="false" customHeight="false" outlineLevel="0" collapsed="false">
      <c r="A215" s="7" t="s">
        <v>142</v>
      </c>
      <c r="B215" s="7" t="s">
        <v>143</v>
      </c>
      <c r="C215" s="7" t="s">
        <v>24</v>
      </c>
      <c r="D215" s="7" t="s">
        <v>25</v>
      </c>
      <c r="E215" s="7" t="s">
        <v>21</v>
      </c>
      <c r="F215" s="7" t="s">
        <v>39</v>
      </c>
      <c r="G215" s="8" t="s">
        <v>28</v>
      </c>
      <c r="H215" s="7" t="s">
        <v>29</v>
      </c>
      <c r="I215" s="7"/>
    </row>
    <row r="216" customFormat="false" ht="15" hidden="false" customHeight="false" outlineLevel="0" collapsed="false">
      <c r="A216" s="5" t="s">
        <v>142</v>
      </c>
      <c r="B216" s="5" t="s">
        <v>143</v>
      </c>
      <c r="C216" s="5" t="s">
        <v>26</v>
      </c>
      <c r="D216" s="5" t="s">
        <v>27</v>
      </c>
      <c r="E216" s="5" t="s">
        <v>21</v>
      </c>
      <c r="F216" s="5" t="s">
        <v>39</v>
      </c>
      <c r="G216" s="8" t="s">
        <v>28</v>
      </c>
      <c r="H216" s="5" t="s">
        <v>29</v>
      </c>
      <c r="I216" s="5"/>
    </row>
    <row r="217" customFormat="false" ht="15" hidden="false" customHeight="false" outlineLevel="0" collapsed="false">
      <c r="A217" s="7" t="s">
        <v>142</v>
      </c>
      <c r="B217" s="7" t="s">
        <v>143</v>
      </c>
      <c r="C217" s="7" t="s">
        <v>30</v>
      </c>
      <c r="D217" s="7" t="s">
        <v>31</v>
      </c>
      <c r="E217" s="7" t="s">
        <v>21</v>
      </c>
      <c r="F217" s="7" t="s">
        <v>39</v>
      </c>
      <c r="G217" s="8" t="s">
        <v>28</v>
      </c>
      <c r="H217" s="7" t="s">
        <v>29</v>
      </c>
      <c r="I217" s="7"/>
    </row>
    <row r="218" customFormat="false" ht="15" hidden="false" customHeight="false" outlineLevel="0" collapsed="false">
      <c r="A218" s="5" t="s">
        <v>142</v>
      </c>
      <c r="B218" s="5" t="s">
        <v>143</v>
      </c>
      <c r="C218" s="5" t="s">
        <v>41</v>
      </c>
      <c r="D218" s="5" t="s">
        <v>66</v>
      </c>
      <c r="E218" s="5" t="s">
        <v>21</v>
      </c>
      <c r="F218" s="5" t="s">
        <v>39</v>
      </c>
      <c r="G218" s="8" t="s">
        <v>28</v>
      </c>
      <c r="H218" s="5" t="s">
        <v>29</v>
      </c>
      <c r="I218" s="5"/>
    </row>
    <row r="219" customFormat="false" ht="15" hidden="false" customHeight="false" outlineLevel="0" collapsed="false">
      <c r="A219" s="7" t="s">
        <v>142</v>
      </c>
      <c r="B219" s="7" t="s">
        <v>143</v>
      </c>
      <c r="C219" s="7" t="s">
        <v>44</v>
      </c>
      <c r="D219" s="7" t="s">
        <v>88</v>
      </c>
      <c r="E219" s="7" t="s">
        <v>21</v>
      </c>
      <c r="F219" s="7" t="s">
        <v>39</v>
      </c>
      <c r="G219" s="8" t="s">
        <v>28</v>
      </c>
      <c r="H219" s="7" t="s">
        <v>29</v>
      </c>
      <c r="I219" s="7"/>
    </row>
    <row r="220" customFormat="false" ht="15" hidden="false" customHeight="false" outlineLevel="0" collapsed="false">
      <c r="A220" s="5" t="s">
        <v>144</v>
      </c>
      <c r="B220" s="5" t="s">
        <v>145</v>
      </c>
      <c r="C220" s="5" t="s">
        <v>19</v>
      </c>
      <c r="D220" s="5" t="s">
        <v>20</v>
      </c>
      <c r="E220" s="5" t="s">
        <v>21</v>
      </c>
      <c r="F220" s="5" t="s">
        <v>42</v>
      </c>
      <c r="G220" s="8" t="s">
        <v>28</v>
      </c>
      <c r="H220" s="5" t="s">
        <v>29</v>
      </c>
      <c r="I220" s="5"/>
    </row>
    <row r="221" customFormat="false" ht="15" hidden="false" customHeight="false" outlineLevel="0" collapsed="false">
      <c r="A221" s="7" t="s">
        <v>144</v>
      </c>
      <c r="B221" s="7" t="s">
        <v>145</v>
      </c>
      <c r="C221" s="7" t="s">
        <v>24</v>
      </c>
      <c r="D221" s="7" t="s">
        <v>25</v>
      </c>
      <c r="E221" s="7" t="s">
        <v>21</v>
      </c>
      <c r="F221" s="7" t="s">
        <v>42</v>
      </c>
      <c r="G221" s="8" t="s">
        <v>28</v>
      </c>
      <c r="H221" s="7" t="s">
        <v>29</v>
      </c>
      <c r="I221" s="7"/>
    </row>
    <row r="222" customFormat="false" ht="15" hidden="false" customHeight="false" outlineLevel="0" collapsed="false">
      <c r="A222" s="5" t="s">
        <v>144</v>
      </c>
      <c r="B222" s="5" t="s">
        <v>145</v>
      </c>
      <c r="C222" s="5" t="s">
        <v>26</v>
      </c>
      <c r="D222" s="5" t="s">
        <v>27</v>
      </c>
      <c r="E222" s="5" t="s">
        <v>21</v>
      </c>
      <c r="F222" s="5" t="s">
        <v>42</v>
      </c>
      <c r="G222" s="8" t="s">
        <v>28</v>
      </c>
      <c r="H222" s="5" t="s">
        <v>29</v>
      </c>
      <c r="I222" s="5"/>
    </row>
    <row r="223" customFormat="false" ht="15" hidden="false" customHeight="false" outlineLevel="0" collapsed="false">
      <c r="A223" s="7" t="s">
        <v>144</v>
      </c>
      <c r="B223" s="7" t="s">
        <v>145</v>
      </c>
      <c r="C223" s="7" t="s">
        <v>30</v>
      </c>
      <c r="D223" s="7" t="s">
        <v>31</v>
      </c>
      <c r="E223" s="7" t="s">
        <v>21</v>
      </c>
      <c r="F223" s="7" t="s">
        <v>42</v>
      </c>
      <c r="G223" s="8" t="s">
        <v>28</v>
      </c>
      <c r="H223" s="7" t="s">
        <v>29</v>
      </c>
      <c r="I223" s="7"/>
    </row>
    <row r="224" customFormat="false" ht="15" hidden="false" customHeight="false" outlineLevel="0" collapsed="false">
      <c r="A224" s="5" t="s">
        <v>144</v>
      </c>
      <c r="B224" s="5" t="s">
        <v>145</v>
      </c>
      <c r="C224" s="5" t="s">
        <v>41</v>
      </c>
      <c r="D224" s="5" t="s">
        <v>66</v>
      </c>
      <c r="E224" s="5" t="s">
        <v>21</v>
      </c>
      <c r="F224" s="5" t="s">
        <v>42</v>
      </c>
      <c r="G224" s="6" t="s">
        <v>23</v>
      </c>
      <c r="H224" s="5"/>
      <c r="I224" s="5"/>
    </row>
    <row r="225" customFormat="false" ht="15" hidden="false" customHeight="false" outlineLevel="0" collapsed="false">
      <c r="A225" s="7" t="s">
        <v>144</v>
      </c>
      <c r="B225" s="7" t="s">
        <v>145</v>
      </c>
      <c r="C225" s="7" t="s">
        <v>44</v>
      </c>
      <c r="D225" s="7" t="s">
        <v>88</v>
      </c>
      <c r="E225" s="7" t="s">
        <v>21</v>
      </c>
      <c r="F225" s="7" t="s">
        <v>42</v>
      </c>
      <c r="G225" s="6" t="s">
        <v>23</v>
      </c>
      <c r="H225" s="7"/>
      <c r="I225" s="7"/>
    </row>
    <row r="226" customFormat="false" ht="15" hidden="false" customHeight="false" outlineLevel="0" collapsed="false">
      <c r="A226" s="5" t="s">
        <v>144</v>
      </c>
      <c r="B226" s="5" t="s">
        <v>145</v>
      </c>
      <c r="C226" s="5" t="s">
        <v>47</v>
      </c>
      <c r="D226" s="5" t="s">
        <v>89</v>
      </c>
      <c r="E226" s="5" t="s">
        <v>21</v>
      </c>
      <c r="F226" s="5" t="s">
        <v>42</v>
      </c>
      <c r="G226" s="6" t="s">
        <v>23</v>
      </c>
      <c r="H226" s="5"/>
      <c r="I226" s="5" t="s">
        <v>35</v>
      </c>
    </row>
    <row r="227" customFormat="false" ht="15" hidden="false" customHeight="false" outlineLevel="0" collapsed="false">
      <c r="A227" s="7" t="s">
        <v>144</v>
      </c>
      <c r="B227" s="7" t="s">
        <v>145</v>
      </c>
      <c r="C227" s="7" t="s">
        <v>49</v>
      </c>
      <c r="D227" s="7" t="s">
        <v>90</v>
      </c>
      <c r="E227" s="7" t="s">
        <v>21</v>
      </c>
      <c r="F227" s="7" t="s">
        <v>42</v>
      </c>
      <c r="G227" s="8" t="s">
        <v>28</v>
      </c>
      <c r="H227" s="7" t="s">
        <v>29</v>
      </c>
      <c r="I227" s="7"/>
    </row>
    <row r="228" customFormat="false" ht="15" hidden="false" customHeight="false" outlineLevel="0" collapsed="false">
      <c r="A228" s="5" t="s">
        <v>146</v>
      </c>
      <c r="B228" s="5" t="s">
        <v>147</v>
      </c>
      <c r="C228" s="5" t="s">
        <v>19</v>
      </c>
      <c r="D228" s="5" t="s">
        <v>20</v>
      </c>
      <c r="E228" s="5" t="s">
        <v>21</v>
      </c>
      <c r="F228" s="5" t="s">
        <v>45</v>
      </c>
      <c r="G228" s="6" t="s">
        <v>23</v>
      </c>
      <c r="H228" s="5"/>
      <c r="I228" s="5"/>
    </row>
    <row r="229" customFormat="false" ht="15" hidden="false" customHeight="false" outlineLevel="0" collapsed="false">
      <c r="A229" s="7" t="s">
        <v>146</v>
      </c>
      <c r="B229" s="7" t="s">
        <v>147</v>
      </c>
      <c r="C229" s="7" t="s">
        <v>24</v>
      </c>
      <c r="D229" s="7" t="s">
        <v>25</v>
      </c>
      <c r="E229" s="7" t="s">
        <v>21</v>
      </c>
      <c r="F229" s="7" t="s">
        <v>45</v>
      </c>
      <c r="G229" s="8" t="s">
        <v>28</v>
      </c>
      <c r="H229" s="7" t="s">
        <v>29</v>
      </c>
      <c r="I229" s="7"/>
    </row>
    <row r="230" customFormat="false" ht="15" hidden="false" customHeight="false" outlineLevel="0" collapsed="false">
      <c r="A230" s="5" t="s">
        <v>146</v>
      </c>
      <c r="B230" s="5" t="s">
        <v>147</v>
      </c>
      <c r="C230" s="5" t="s">
        <v>26</v>
      </c>
      <c r="D230" s="5" t="s">
        <v>27</v>
      </c>
      <c r="E230" s="5" t="s">
        <v>21</v>
      </c>
      <c r="F230" s="5" t="s">
        <v>45</v>
      </c>
      <c r="G230" s="6" t="s">
        <v>23</v>
      </c>
      <c r="H230" s="5"/>
      <c r="I230" s="5" t="s">
        <v>32</v>
      </c>
    </row>
    <row r="231" customFormat="false" ht="15" hidden="false" customHeight="false" outlineLevel="0" collapsed="false">
      <c r="A231" s="7" t="s">
        <v>146</v>
      </c>
      <c r="B231" s="7" t="s">
        <v>147</v>
      </c>
      <c r="C231" s="7" t="s">
        <v>30</v>
      </c>
      <c r="D231" s="7" t="s">
        <v>31</v>
      </c>
      <c r="E231" s="7" t="s">
        <v>21</v>
      </c>
      <c r="F231" s="7" t="s">
        <v>45</v>
      </c>
      <c r="G231" s="8" t="s">
        <v>28</v>
      </c>
      <c r="H231" s="7" t="s">
        <v>29</v>
      </c>
      <c r="I231" s="7"/>
    </row>
    <row r="232" customFormat="false" ht="15" hidden="false" customHeight="false" outlineLevel="0" collapsed="false">
      <c r="A232" s="5" t="s">
        <v>146</v>
      </c>
      <c r="B232" s="5" t="s">
        <v>147</v>
      </c>
      <c r="C232" s="5" t="s">
        <v>41</v>
      </c>
      <c r="D232" s="5" t="s">
        <v>66</v>
      </c>
      <c r="E232" s="5" t="s">
        <v>21</v>
      </c>
      <c r="F232" s="5" t="s">
        <v>45</v>
      </c>
      <c r="G232" s="8" t="s">
        <v>28</v>
      </c>
      <c r="H232" s="5" t="s">
        <v>29</v>
      </c>
      <c r="I232" s="5"/>
    </row>
    <row r="233" customFormat="false" ht="15" hidden="false" customHeight="false" outlineLevel="0" collapsed="false">
      <c r="A233" s="7" t="s">
        <v>146</v>
      </c>
      <c r="B233" s="7" t="s">
        <v>147</v>
      </c>
      <c r="C233" s="7" t="s">
        <v>44</v>
      </c>
      <c r="D233" s="7" t="s">
        <v>88</v>
      </c>
      <c r="E233" s="7" t="s">
        <v>21</v>
      </c>
      <c r="F233" s="7" t="s">
        <v>45</v>
      </c>
      <c r="G233" s="8" t="s">
        <v>28</v>
      </c>
      <c r="H233" s="7" t="s">
        <v>29</v>
      </c>
      <c r="I233" s="7"/>
    </row>
    <row r="234" customFormat="false" ht="15" hidden="false" customHeight="false" outlineLevel="0" collapsed="false">
      <c r="A234" s="5" t="s">
        <v>148</v>
      </c>
      <c r="B234" s="5" t="s">
        <v>149</v>
      </c>
      <c r="C234" s="5" t="s">
        <v>19</v>
      </c>
      <c r="D234" s="5" t="s">
        <v>20</v>
      </c>
      <c r="E234" s="5" t="s">
        <v>21</v>
      </c>
      <c r="F234" s="5" t="s">
        <v>22</v>
      </c>
      <c r="G234" s="6" t="s">
        <v>23</v>
      </c>
      <c r="H234" s="5"/>
      <c r="I234" s="5"/>
    </row>
    <row r="235" customFormat="false" ht="15" hidden="false" customHeight="false" outlineLevel="0" collapsed="false">
      <c r="A235" s="7" t="s">
        <v>148</v>
      </c>
      <c r="B235" s="7" t="s">
        <v>149</v>
      </c>
      <c r="C235" s="7" t="s">
        <v>24</v>
      </c>
      <c r="D235" s="7" t="s">
        <v>25</v>
      </c>
      <c r="E235" s="7" t="s">
        <v>21</v>
      </c>
      <c r="F235" s="7" t="s">
        <v>22</v>
      </c>
      <c r="G235" s="6" t="s">
        <v>23</v>
      </c>
      <c r="H235" s="7"/>
      <c r="I235" s="7"/>
    </row>
    <row r="236" customFormat="false" ht="15" hidden="false" customHeight="false" outlineLevel="0" collapsed="false">
      <c r="A236" s="5" t="s">
        <v>148</v>
      </c>
      <c r="B236" s="5" t="s">
        <v>149</v>
      </c>
      <c r="C236" s="5" t="s">
        <v>26</v>
      </c>
      <c r="D236" s="5" t="s">
        <v>27</v>
      </c>
      <c r="E236" s="5" t="s">
        <v>21</v>
      </c>
      <c r="F236" s="5" t="s">
        <v>22</v>
      </c>
      <c r="G236" s="8" t="s">
        <v>28</v>
      </c>
      <c r="H236" s="5" t="s">
        <v>29</v>
      </c>
      <c r="I236" s="5"/>
    </row>
    <row r="237" customFormat="false" ht="15" hidden="false" customHeight="false" outlineLevel="0" collapsed="false">
      <c r="A237" s="7" t="s">
        <v>148</v>
      </c>
      <c r="B237" s="7" t="s">
        <v>149</v>
      </c>
      <c r="C237" s="7" t="s">
        <v>30</v>
      </c>
      <c r="D237" s="7" t="s">
        <v>31</v>
      </c>
      <c r="E237" s="7" t="s">
        <v>21</v>
      </c>
      <c r="F237" s="7" t="s">
        <v>22</v>
      </c>
      <c r="G237" s="8" t="s">
        <v>28</v>
      </c>
      <c r="H237" s="7" t="s">
        <v>29</v>
      </c>
      <c r="I237" s="7"/>
    </row>
    <row r="238" customFormat="false" ht="15" hidden="false" customHeight="false" outlineLevel="0" collapsed="false">
      <c r="A238" s="5" t="s">
        <v>148</v>
      </c>
      <c r="B238" s="5" t="s">
        <v>149</v>
      </c>
      <c r="C238" s="5" t="s">
        <v>41</v>
      </c>
      <c r="D238" s="5" t="s">
        <v>66</v>
      </c>
      <c r="E238" s="5" t="s">
        <v>21</v>
      </c>
      <c r="F238" s="5" t="s">
        <v>22</v>
      </c>
      <c r="G238" s="6" t="s">
        <v>23</v>
      </c>
      <c r="H238" s="5"/>
      <c r="I238" s="5"/>
    </row>
    <row r="239" customFormat="false" ht="15" hidden="false" customHeight="false" outlineLevel="0" collapsed="false">
      <c r="A239" s="7" t="s">
        <v>148</v>
      </c>
      <c r="B239" s="7" t="s">
        <v>149</v>
      </c>
      <c r="C239" s="7" t="s">
        <v>44</v>
      </c>
      <c r="D239" s="7" t="s">
        <v>88</v>
      </c>
      <c r="E239" s="7" t="s">
        <v>21</v>
      </c>
      <c r="F239" s="7" t="s">
        <v>22</v>
      </c>
      <c r="G239" s="8" t="s">
        <v>28</v>
      </c>
      <c r="H239" s="7" t="s">
        <v>29</v>
      </c>
      <c r="I239" s="7"/>
    </row>
    <row r="240" customFormat="false" ht="15" hidden="false" customHeight="false" outlineLevel="0" collapsed="false">
      <c r="A240" s="5" t="s">
        <v>150</v>
      </c>
      <c r="B240" s="5" t="s">
        <v>151</v>
      </c>
      <c r="C240" s="5" t="s">
        <v>19</v>
      </c>
      <c r="D240" s="5" t="s">
        <v>20</v>
      </c>
      <c r="E240" s="5" t="s">
        <v>21</v>
      </c>
      <c r="F240" s="5" t="s">
        <v>34</v>
      </c>
      <c r="G240" s="6" t="s">
        <v>23</v>
      </c>
      <c r="H240" s="5"/>
      <c r="I240" s="5"/>
    </row>
    <row r="241" customFormat="false" ht="15" hidden="false" customHeight="false" outlineLevel="0" collapsed="false">
      <c r="A241" s="7" t="s">
        <v>150</v>
      </c>
      <c r="B241" s="7" t="s">
        <v>151</v>
      </c>
      <c r="C241" s="7" t="s">
        <v>24</v>
      </c>
      <c r="D241" s="7" t="s">
        <v>25</v>
      </c>
      <c r="E241" s="7" t="s">
        <v>21</v>
      </c>
      <c r="F241" s="7" t="s">
        <v>34</v>
      </c>
      <c r="G241" s="8" t="s">
        <v>28</v>
      </c>
      <c r="H241" s="7" t="s">
        <v>29</v>
      </c>
      <c r="I241" s="7"/>
    </row>
    <row r="242" customFormat="false" ht="15" hidden="false" customHeight="false" outlineLevel="0" collapsed="false">
      <c r="A242" s="5" t="s">
        <v>150</v>
      </c>
      <c r="B242" s="5" t="s">
        <v>151</v>
      </c>
      <c r="C242" s="5" t="s">
        <v>26</v>
      </c>
      <c r="D242" s="5" t="s">
        <v>27</v>
      </c>
      <c r="E242" s="5" t="s">
        <v>21</v>
      </c>
      <c r="F242" s="5" t="s">
        <v>34</v>
      </c>
      <c r="G242" s="8" t="s">
        <v>28</v>
      </c>
      <c r="H242" s="5" t="s">
        <v>29</v>
      </c>
      <c r="I242" s="5"/>
    </row>
    <row r="243" customFormat="false" ht="15" hidden="false" customHeight="false" outlineLevel="0" collapsed="false">
      <c r="A243" s="7" t="s">
        <v>150</v>
      </c>
      <c r="B243" s="7" t="s">
        <v>151</v>
      </c>
      <c r="C243" s="7" t="s">
        <v>30</v>
      </c>
      <c r="D243" s="7" t="s">
        <v>31</v>
      </c>
      <c r="E243" s="7" t="s">
        <v>21</v>
      </c>
      <c r="F243" s="7" t="s">
        <v>34</v>
      </c>
      <c r="G243" s="6" t="s">
        <v>23</v>
      </c>
      <c r="H243" s="7"/>
      <c r="I243" s="7" t="s">
        <v>32</v>
      </c>
    </row>
    <row r="244" customFormat="false" ht="15" hidden="false" customHeight="false" outlineLevel="0" collapsed="false">
      <c r="A244" s="5" t="s">
        <v>150</v>
      </c>
      <c r="B244" s="5" t="s">
        <v>151</v>
      </c>
      <c r="C244" s="5" t="s">
        <v>41</v>
      </c>
      <c r="D244" s="5" t="s">
        <v>66</v>
      </c>
      <c r="E244" s="5" t="s">
        <v>21</v>
      </c>
      <c r="F244" s="5" t="s">
        <v>34</v>
      </c>
      <c r="G244" s="6" t="s">
        <v>23</v>
      </c>
      <c r="H244" s="5"/>
      <c r="I244" s="5"/>
    </row>
    <row r="245" customFormat="false" ht="15" hidden="false" customHeight="false" outlineLevel="0" collapsed="false">
      <c r="A245" s="7" t="s">
        <v>152</v>
      </c>
      <c r="B245" s="7" t="s">
        <v>153</v>
      </c>
      <c r="C245" s="7" t="s">
        <v>19</v>
      </c>
      <c r="D245" s="7" t="s">
        <v>20</v>
      </c>
      <c r="E245" s="7" t="s">
        <v>21</v>
      </c>
      <c r="F245" s="7" t="s">
        <v>37</v>
      </c>
      <c r="G245" s="6" t="s">
        <v>23</v>
      </c>
      <c r="H245" s="7"/>
      <c r="I245" s="7" t="s">
        <v>35</v>
      </c>
    </row>
    <row r="246" customFormat="false" ht="15" hidden="false" customHeight="false" outlineLevel="0" collapsed="false">
      <c r="A246" s="5" t="s">
        <v>152</v>
      </c>
      <c r="B246" s="5" t="s">
        <v>153</v>
      </c>
      <c r="C246" s="5" t="s">
        <v>24</v>
      </c>
      <c r="D246" s="5" t="s">
        <v>25</v>
      </c>
      <c r="E246" s="5" t="s">
        <v>21</v>
      </c>
      <c r="F246" s="5" t="s">
        <v>37</v>
      </c>
      <c r="G246" s="6" t="s">
        <v>23</v>
      </c>
      <c r="H246" s="5"/>
      <c r="I246" s="5" t="s">
        <v>35</v>
      </c>
    </row>
    <row r="247" customFormat="false" ht="15" hidden="false" customHeight="false" outlineLevel="0" collapsed="false">
      <c r="A247" s="7" t="s">
        <v>152</v>
      </c>
      <c r="B247" s="7" t="s">
        <v>153</v>
      </c>
      <c r="C247" s="7" t="s">
        <v>26</v>
      </c>
      <c r="D247" s="7" t="s">
        <v>27</v>
      </c>
      <c r="E247" s="7" t="s">
        <v>21</v>
      </c>
      <c r="F247" s="7" t="s">
        <v>37</v>
      </c>
      <c r="G247" s="8" t="s">
        <v>28</v>
      </c>
      <c r="H247" s="7" t="s">
        <v>29</v>
      </c>
      <c r="I247" s="7"/>
    </row>
    <row r="248" customFormat="false" ht="15" hidden="false" customHeight="false" outlineLevel="0" collapsed="false">
      <c r="A248" s="5" t="s">
        <v>152</v>
      </c>
      <c r="B248" s="5" t="s">
        <v>153</v>
      </c>
      <c r="C248" s="5" t="s">
        <v>30</v>
      </c>
      <c r="D248" s="5" t="s">
        <v>31</v>
      </c>
      <c r="E248" s="5" t="s">
        <v>21</v>
      </c>
      <c r="F248" s="5" t="s">
        <v>37</v>
      </c>
      <c r="G248" s="8" t="s">
        <v>28</v>
      </c>
      <c r="H248" s="5" t="s">
        <v>29</v>
      </c>
      <c r="I248" s="5"/>
    </row>
    <row r="249" customFormat="false" ht="15" hidden="false" customHeight="false" outlineLevel="0" collapsed="false">
      <c r="A249" s="7" t="s">
        <v>152</v>
      </c>
      <c r="B249" s="7" t="s">
        <v>153</v>
      </c>
      <c r="C249" s="7" t="s">
        <v>41</v>
      </c>
      <c r="D249" s="7" t="s">
        <v>66</v>
      </c>
      <c r="E249" s="7" t="s">
        <v>21</v>
      </c>
      <c r="F249" s="7" t="s">
        <v>37</v>
      </c>
      <c r="G249" s="6" t="s">
        <v>23</v>
      </c>
      <c r="H249" s="7"/>
      <c r="I249" s="7"/>
    </row>
    <row r="250" customFormat="false" ht="15" hidden="false" customHeight="false" outlineLevel="0" collapsed="false">
      <c r="A250" s="5" t="s">
        <v>154</v>
      </c>
      <c r="B250" s="5" t="s">
        <v>155</v>
      </c>
      <c r="C250" s="5" t="s">
        <v>19</v>
      </c>
      <c r="D250" s="5" t="s">
        <v>20</v>
      </c>
      <c r="E250" s="5" t="s">
        <v>21</v>
      </c>
      <c r="F250" s="5" t="s">
        <v>39</v>
      </c>
      <c r="G250" s="8" t="s">
        <v>28</v>
      </c>
      <c r="H250" s="5" t="s">
        <v>29</v>
      </c>
      <c r="I250" s="5"/>
    </row>
    <row r="251" customFormat="false" ht="15" hidden="false" customHeight="false" outlineLevel="0" collapsed="false">
      <c r="A251" s="7" t="s">
        <v>154</v>
      </c>
      <c r="B251" s="7" t="s">
        <v>155</v>
      </c>
      <c r="C251" s="7" t="s">
        <v>24</v>
      </c>
      <c r="D251" s="7" t="s">
        <v>25</v>
      </c>
      <c r="E251" s="7" t="s">
        <v>21</v>
      </c>
      <c r="F251" s="7" t="s">
        <v>39</v>
      </c>
      <c r="G251" s="6" t="s">
        <v>23</v>
      </c>
      <c r="H251" s="7"/>
      <c r="I251" s="7" t="s">
        <v>35</v>
      </c>
    </row>
    <row r="252" customFormat="false" ht="15" hidden="false" customHeight="false" outlineLevel="0" collapsed="false">
      <c r="A252" s="5" t="s">
        <v>154</v>
      </c>
      <c r="B252" s="5" t="s">
        <v>155</v>
      </c>
      <c r="C252" s="5" t="s">
        <v>26</v>
      </c>
      <c r="D252" s="5" t="s">
        <v>27</v>
      </c>
      <c r="E252" s="5" t="s">
        <v>21</v>
      </c>
      <c r="F252" s="5" t="s">
        <v>39</v>
      </c>
      <c r="G252" s="8" t="s">
        <v>28</v>
      </c>
      <c r="H252" s="5" t="s">
        <v>29</v>
      </c>
      <c r="I252" s="5"/>
    </row>
    <row r="253" customFormat="false" ht="15" hidden="false" customHeight="false" outlineLevel="0" collapsed="false">
      <c r="A253" s="7" t="s">
        <v>154</v>
      </c>
      <c r="B253" s="7" t="s">
        <v>155</v>
      </c>
      <c r="C253" s="7" t="s">
        <v>30</v>
      </c>
      <c r="D253" s="7" t="s">
        <v>31</v>
      </c>
      <c r="E253" s="7" t="s">
        <v>21</v>
      </c>
      <c r="F253" s="7" t="s">
        <v>39</v>
      </c>
      <c r="G253" s="8" t="s">
        <v>28</v>
      </c>
      <c r="H253" s="7" t="s">
        <v>29</v>
      </c>
      <c r="I253" s="7"/>
    </row>
    <row r="254" customFormat="false" ht="15" hidden="false" customHeight="false" outlineLevel="0" collapsed="false">
      <c r="A254" s="5" t="s">
        <v>154</v>
      </c>
      <c r="B254" s="5" t="s">
        <v>155</v>
      </c>
      <c r="C254" s="5" t="s">
        <v>41</v>
      </c>
      <c r="D254" s="5" t="s">
        <v>66</v>
      </c>
      <c r="E254" s="5" t="s">
        <v>21</v>
      </c>
      <c r="F254" s="5" t="s">
        <v>39</v>
      </c>
      <c r="G254" s="8" t="s">
        <v>28</v>
      </c>
      <c r="H254" s="5" t="s">
        <v>29</v>
      </c>
      <c r="I254" s="5"/>
    </row>
    <row r="255" customFormat="false" ht="15" hidden="false" customHeight="false" outlineLevel="0" collapsed="false">
      <c r="A255" s="7" t="s">
        <v>156</v>
      </c>
      <c r="B255" s="7" t="s">
        <v>157</v>
      </c>
      <c r="C255" s="7" t="s">
        <v>19</v>
      </c>
      <c r="D255" s="7" t="s">
        <v>20</v>
      </c>
      <c r="E255" s="7" t="s">
        <v>21</v>
      </c>
      <c r="F255" s="7" t="s">
        <v>42</v>
      </c>
      <c r="G255" s="8" t="s">
        <v>28</v>
      </c>
      <c r="H255" s="7" t="s">
        <v>29</v>
      </c>
      <c r="I255" s="7"/>
    </row>
    <row r="256" customFormat="false" ht="15" hidden="false" customHeight="false" outlineLevel="0" collapsed="false">
      <c r="A256" s="5" t="s">
        <v>156</v>
      </c>
      <c r="B256" s="5" t="s">
        <v>157</v>
      </c>
      <c r="C256" s="5" t="s">
        <v>24</v>
      </c>
      <c r="D256" s="5" t="s">
        <v>25</v>
      </c>
      <c r="E256" s="5" t="s">
        <v>21</v>
      </c>
      <c r="F256" s="5" t="s">
        <v>42</v>
      </c>
      <c r="G256" s="6" t="s">
        <v>23</v>
      </c>
      <c r="H256" s="5"/>
      <c r="I256" s="5"/>
    </row>
    <row r="257" customFormat="false" ht="15" hidden="false" customHeight="false" outlineLevel="0" collapsed="false">
      <c r="A257" s="7" t="s">
        <v>156</v>
      </c>
      <c r="B257" s="7" t="s">
        <v>157</v>
      </c>
      <c r="C257" s="7" t="s">
        <v>26</v>
      </c>
      <c r="D257" s="7" t="s">
        <v>27</v>
      </c>
      <c r="E257" s="7" t="s">
        <v>21</v>
      </c>
      <c r="F257" s="7" t="s">
        <v>42</v>
      </c>
      <c r="G257" s="8" t="s">
        <v>28</v>
      </c>
      <c r="H257" s="7" t="s">
        <v>29</v>
      </c>
      <c r="I257" s="7"/>
    </row>
    <row r="258" customFormat="false" ht="15" hidden="false" customHeight="false" outlineLevel="0" collapsed="false">
      <c r="A258" s="5" t="s">
        <v>156</v>
      </c>
      <c r="B258" s="5" t="s">
        <v>157</v>
      </c>
      <c r="C258" s="5" t="s">
        <v>30</v>
      </c>
      <c r="D258" s="5" t="s">
        <v>31</v>
      </c>
      <c r="E258" s="5" t="s">
        <v>21</v>
      </c>
      <c r="F258" s="5" t="s">
        <v>42</v>
      </c>
      <c r="G258" s="8" t="s">
        <v>28</v>
      </c>
      <c r="H258" s="5" t="s">
        <v>29</v>
      </c>
      <c r="I258" s="5"/>
    </row>
    <row r="259" customFormat="false" ht="15" hidden="false" customHeight="false" outlineLevel="0" collapsed="false">
      <c r="A259" s="7" t="s">
        <v>156</v>
      </c>
      <c r="B259" s="7" t="s">
        <v>157</v>
      </c>
      <c r="C259" s="7" t="s">
        <v>41</v>
      </c>
      <c r="D259" s="7" t="s">
        <v>66</v>
      </c>
      <c r="E259" s="7" t="s">
        <v>21</v>
      </c>
      <c r="F259" s="7" t="s">
        <v>42</v>
      </c>
      <c r="G259" s="6" t="s">
        <v>23</v>
      </c>
      <c r="H259" s="7"/>
      <c r="I259" s="7" t="s">
        <v>32</v>
      </c>
    </row>
    <row r="260" customFormat="false" ht="15" hidden="false" customHeight="false" outlineLevel="0" collapsed="false">
      <c r="A260" s="5" t="s">
        <v>156</v>
      </c>
      <c r="B260" s="5" t="s">
        <v>157</v>
      </c>
      <c r="C260" s="5" t="s">
        <v>44</v>
      </c>
      <c r="D260" s="5" t="s">
        <v>88</v>
      </c>
      <c r="E260" s="5" t="s">
        <v>21</v>
      </c>
      <c r="F260" s="5" t="s">
        <v>42</v>
      </c>
      <c r="G260" s="8" t="s">
        <v>28</v>
      </c>
      <c r="H260" s="5" t="s">
        <v>29</v>
      </c>
      <c r="I260" s="5"/>
    </row>
    <row r="261" customFormat="false" ht="15" hidden="false" customHeight="false" outlineLevel="0" collapsed="false">
      <c r="A261" s="7" t="s">
        <v>156</v>
      </c>
      <c r="B261" s="7" t="s">
        <v>157</v>
      </c>
      <c r="C261" s="7" t="s">
        <v>47</v>
      </c>
      <c r="D261" s="7" t="s">
        <v>89</v>
      </c>
      <c r="E261" s="7" t="s">
        <v>21</v>
      </c>
      <c r="F261" s="7" t="s">
        <v>42</v>
      </c>
      <c r="G261" s="6" t="s">
        <v>23</v>
      </c>
      <c r="H261" s="7"/>
      <c r="I261" s="7"/>
    </row>
    <row r="262" customFormat="false" ht="15" hidden="false" customHeight="false" outlineLevel="0" collapsed="false">
      <c r="A262" s="5" t="s">
        <v>156</v>
      </c>
      <c r="B262" s="5" t="s">
        <v>157</v>
      </c>
      <c r="C262" s="5" t="s">
        <v>49</v>
      </c>
      <c r="D262" s="5" t="s">
        <v>90</v>
      </c>
      <c r="E262" s="5" t="s">
        <v>21</v>
      </c>
      <c r="F262" s="5" t="s">
        <v>42</v>
      </c>
      <c r="G262" s="8" t="s">
        <v>28</v>
      </c>
      <c r="H262" s="5" t="s">
        <v>29</v>
      </c>
      <c r="I262" s="5"/>
    </row>
    <row r="263" customFormat="false" ht="15" hidden="false" customHeight="false" outlineLevel="0" collapsed="false">
      <c r="A263" s="7" t="s">
        <v>156</v>
      </c>
      <c r="B263" s="7" t="s">
        <v>157</v>
      </c>
      <c r="C263" s="7" t="s">
        <v>53</v>
      </c>
      <c r="D263" s="7" t="s">
        <v>91</v>
      </c>
      <c r="E263" s="7" t="s">
        <v>21</v>
      </c>
      <c r="F263" s="7" t="s">
        <v>42</v>
      </c>
      <c r="G263" s="6" t="s">
        <v>23</v>
      </c>
      <c r="H263" s="7"/>
      <c r="I263" s="7"/>
    </row>
    <row r="264" customFormat="false" ht="15" hidden="false" customHeight="false" outlineLevel="0" collapsed="false">
      <c r="A264" s="5" t="s">
        <v>156</v>
      </c>
      <c r="B264" s="5" t="s">
        <v>157</v>
      </c>
      <c r="C264" s="5" t="s">
        <v>51</v>
      </c>
      <c r="D264" s="5" t="s">
        <v>96</v>
      </c>
      <c r="E264" s="5" t="s">
        <v>21</v>
      </c>
      <c r="F264" s="5" t="s">
        <v>42</v>
      </c>
      <c r="G264" s="6" t="s">
        <v>23</v>
      </c>
      <c r="H264" s="5"/>
      <c r="I264" s="5"/>
    </row>
    <row r="265" customFormat="false" ht="15" hidden="false" customHeight="false" outlineLevel="0" collapsed="false">
      <c r="A265" s="7" t="s">
        <v>158</v>
      </c>
      <c r="B265" s="7" t="s">
        <v>159</v>
      </c>
      <c r="C265" s="7" t="s">
        <v>19</v>
      </c>
      <c r="D265" s="7" t="s">
        <v>20</v>
      </c>
      <c r="E265" s="7" t="s">
        <v>21</v>
      </c>
      <c r="F265" s="7" t="s">
        <v>45</v>
      </c>
      <c r="G265" s="6" t="s">
        <v>23</v>
      </c>
      <c r="H265" s="7"/>
      <c r="I265" s="7"/>
    </row>
    <row r="266" customFormat="false" ht="15" hidden="false" customHeight="false" outlineLevel="0" collapsed="false">
      <c r="A266" s="5" t="s">
        <v>158</v>
      </c>
      <c r="B266" s="5" t="s">
        <v>159</v>
      </c>
      <c r="C266" s="5" t="s">
        <v>24</v>
      </c>
      <c r="D266" s="5" t="s">
        <v>25</v>
      </c>
      <c r="E266" s="5" t="s">
        <v>21</v>
      </c>
      <c r="F266" s="5" t="s">
        <v>45</v>
      </c>
      <c r="G266" s="6" t="s">
        <v>23</v>
      </c>
      <c r="H266" s="5"/>
      <c r="I266" s="5" t="s">
        <v>67</v>
      </c>
    </row>
    <row r="267" customFormat="false" ht="15" hidden="false" customHeight="false" outlineLevel="0" collapsed="false">
      <c r="A267" s="7" t="s">
        <v>158</v>
      </c>
      <c r="B267" s="7" t="s">
        <v>159</v>
      </c>
      <c r="C267" s="7" t="s">
        <v>26</v>
      </c>
      <c r="D267" s="7" t="s">
        <v>27</v>
      </c>
      <c r="E267" s="7" t="s">
        <v>21</v>
      </c>
      <c r="F267" s="7" t="s">
        <v>45</v>
      </c>
      <c r="G267" s="8" t="s">
        <v>28</v>
      </c>
      <c r="H267" s="7" t="s">
        <v>29</v>
      </c>
      <c r="I267" s="7"/>
    </row>
    <row r="268" customFormat="false" ht="15" hidden="false" customHeight="false" outlineLevel="0" collapsed="false">
      <c r="A268" s="5" t="s">
        <v>160</v>
      </c>
      <c r="B268" s="5" t="s">
        <v>161</v>
      </c>
      <c r="C268" s="5" t="s">
        <v>19</v>
      </c>
      <c r="D268" s="5" t="s">
        <v>20</v>
      </c>
      <c r="E268" s="5" t="s">
        <v>21</v>
      </c>
      <c r="F268" s="5" t="s">
        <v>22</v>
      </c>
      <c r="G268" s="6" t="s">
        <v>23</v>
      </c>
      <c r="H268" s="5"/>
      <c r="I268" s="5"/>
    </row>
    <row r="269" customFormat="false" ht="15" hidden="false" customHeight="false" outlineLevel="0" collapsed="false">
      <c r="A269" s="7" t="s">
        <v>160</v>
      </c>
      <c r="B269" s="7" t="s">
        <v>161</v>
      </c>
      <c r="C269" s="7" t="s">
        <v>24</v>
      </c>
      <c r="D269" s="7" t="s">
        <v>25</v>
      </c>
      <c r="E269" s="7" t="s">
        <v>21</v>
      </c>
      <c r="F269" s="7" t="s">
        <v>22</v>
      </c>
      <c r="G269" s="6" t="s">
        <v>23</v>
      </c>
      <c r="H269" s="7"/>
      <c r="I269" s="7" t="s">
        <v>67</v>
      </c>
    </row>
    <row r="270" customFormat="false" ht="15" hidden="false" customHeight="false" outlineLevel="0" collapsed="false">
      <c r="A270" s="5" t="s">
        <v>162</v>
      </c>
      <c r="B270" s="5" t="s">
        <v>163</v>
      </c>
      <c r="C270" s="5" t="s">
        <v>19</v>
      </c>
      <c r="D270" s="5" t="s">
        <v>20</v>
      </c>
      <c r="E270" s="5" t="s">
        <v>21</v>
      </c>
      <c r="F270" s="5" t="s">
        <v>34</v>
      </c>
      <c r="G270" s="6" t="s">
        <v>23</v>
      </c>
      <c r="H270" s="5"/>
      <c r="I270" s="5"/>
    </row>
    <row r="271" customFormat="false" ht="15" hidden="false" customHeight="false" outlineLevel="0" collapsed="false">
      <c r="A271" s="7" t="s">
        <v>162</v>
      </c>
      <c r="B271" s="7" t="s">
        <v>163</v>
      </c>
      <c r="C271" s="7" t="s">
        <v>24</v>
      </c>
      <c r="D271" s="7" t="s">
        <v>25</v>
      </c>
      <c r="E271" s="7" t="s">
        <v>21</v>
      </c>
      <c r="F271" s="7" t="s">
        <v>34</v>
      </c>
      <c r="G271" s="6" t="s">
        <v>23</v>
      </c>
      <c r="H271" s="7"/>
      <c r="I271" s="7"/>
    </row>
    <row r="272" customFormat="false" ht="15" hidden="false" customHeight="false" outlineLevel="0" collapsed="false">
      <c r="A272" s="5" t="s">
        <v>162</v>
      </c>
      <c r="B272" s="5" t="s">
        <v>163</v>
      </c>
      <c r="C272" s="5" t="s">
        <v>26</v>
      </c>
      <c r="D272" s="5" t="s">
        <v>27</v>
      </c>
      <c r="E272" s="5" t="s">
        <v>21</v>
      </c>
      <c r="F272" s="5" t="s">
        <v>34</v>
      </c>
      <c r="G272" s="8" t="s">
        <v>28</v>
      </c>
      <c r="H272" s="5" t="s">
        <v>29</v>
      </c>
      <c r="I272" s="5"/>
    </row>
    <row r="273" customFormat="false" ht="15" hidden="false" customHeight="false" outlineLevel="0" collapsed="false">
      <c r="A273" s="7" t="s">
        <v>162</v>
      </c>
      <c r="B273" s="7" t="s">
        <v>163</v>
      </c>
      <c r="C273" s="7" t="s">
        <v>30</v>
      </c>
      <c r="D273" s="7" t="s">
        <v>31</v>
      </c>
      <c r="E273" s="7" t="s">
        <v>21</v>
      </c>
      <c r="F273" s="7" t="s">
        <v>34</v>
      </c>
      <c r="G273" s="6" t="s">
        <v>23</v>
      </c>
      <c r="H273" s="7"/>
      <c r="I273" s="7"/>
    </row>
    <row r="274" customFormat="false" ht="15" hidden="false" customHeight="false" outlineLevel="0" collapsed="false">
      <c r="A274" s="5" t="s">
        <v>162</v>
      </c>
      <c r="B274" s="5" t="s">
        <v>163</v>
      </c>
      <c r="C274" s="5" t="s">
        <v>41</v>
      </c>
      <c r="D274" s="5" t="s">
        <v>66</v>
      </c>
      <c r="E274" s="5" t="s">
        <v>21</v>
      </c>
      <c r="F274" s="5" t="s">
        <v>34</v>
      </c>
      <c r="G274" s="8" t="s">
        <v>28</v>
      </c>
      <c r="H274" s="5" t="s">
        <v>29</v>
      </c>
      <c r="I274" s="5"/>
    </row>
    <row r="275" customFormat="false" ht="15" hidden="false" customHeight="false" outlineLevel="0" collapsed="false">
      <c r="A275" s="7" t="s">
        <v>164</v>
      </c>
      <c r="B275" s="7" t="s">
        <v>165</v>
      </c>
      <c r="C275" s="7" t="s">
        <v>19</v>
      </c>
      <c r="D275" s="7" t="s">
        <v>20</v>
      </c>
      <c r="E275" s="7" t="s">
        <v>21</v>
      </c>
      <c r="F275" s="7" t="s">
        <v>37</v>
      </c>
      <c r="G275" s="8" t="s">
        <v>28</v>
      </c>
      <c r="H275" s="7" t="s">
        <v>29</v>
      </c>
      <c r="I275" s="7"/>
    </row>
    <row r="276" customFormat="false" ht="15" hidden="false" customHeight="false" outlineLevel="0" collapsed="false">
      <c r="A276" s="5" t="s">
        <v>164</v>
      </c>
      <c r="B276" s="5" t="s">
        <v>165</v>
      </c>
      <c r="C276" s="5" t="s">
        <v>24</v>
      </c>
      <c r="D276" s="5" t="s">
        <v>25</v>
      </c>
      <c r="E276" s="5" t="s">
        <v>21</v>
      </c>
      <c r="F276" s="5" t="s">
        <v>37</v>
      </c>
      <c r="G276" s="8" t="s">
        <v>28</v>
      </c>
      <c r="H276" s="5" t="s">
        <v>29</v>
      </c>
      <c r="I276" s="5"/>
    </row>
    <row r="277" customFormat="false" ht="15" hidden="false" customHeight="false" outlineLevel="0" collapsed="false">
      <c r="A277" s="7" t="s">
        <v>164</v>
      </c>
      <c r="B277" s="7" t="s">
        <v>165</v>
      </c>
      <c r="C277" s="7" t="s">
        <v>26</v>
      </c>
      <c r="D277" s="7" t="s">
        <v>27</v>
      </c>
      <c r="E277" s="7" t="s">
        <v>21</v>
      </c>
      <c r="F277" s="7" t="s">
        <v>37</v>
      </c>
      <c r="G277" s="8" t="s">
        <v>28</v>
      </c>
      <c r="H277" s="7" t="s">
        <v>29</v>
      </c>
      <c r="I277" s="7"/>
    </row>
    <row r="278" customFormat="false" ht="15" hidden="false" customHeight="false" outlineLevel="0" collapsed="false">
      <c r="A278" s="5" t="s">
        <v>166</v>
      </c>
      <c r="B278" s="5" t="s">
        <v>167</v>
      </c>
      <c r="C278" s="5" t="s">
        <v>19</v>
      </c>
      <c r="D278" s="5" t="s">
        <v>20</v>
      </c>
      <c r="E278" s="5" t="s">
        <v>21</v>
      </c>
      <c r="F278" s="5" t="s">
        <v>39</v>
      </c>
      <c r="G278" s="6" t="s">
        <v>23</v>
      </c>
      <c r="H278" s="5"/>
      <c r="I278" s="5"/>
    </row>
    <row r="279" customFormat="false" ht="15" hidden="false" customHeight="false" outlineLevel="0" collapsed="false">
      <c r="A279" s="7" t="s">
        <v>166</v>
      </c>
      <c r="B279" s="7" t="s">
        <v>167</v>
      </c>
      <c r="C279" s="7" t="s">
        <v>24</v>
      </c>
      <c r="D279" s="7" t="s">
        <v>25</v>
      </c>
      <c r="E279" s="7" t="s">
        <v>21</v>
      </c>
      <c r="F279" s="7" t="s">
        <v>39</v>
      </c>
      <c r="G279" s="8" t="s">
        <v>28</v>
      </c>
      <c r="H279" s="7" t="s">
        <v>29</v>
      </c>
      <c r="I279" s="7"/>
    </row>
    <row r="280" customFormat="false" ht="15" hidden="false" customHeight="false" outlineLevel="0" collapsed="false">
      <c r="A280" s="5" t="s">
        <v>166</v>
      </c>
      <c r="B280" s="5" t="s">
        <v>167</v>
      </c>
      <c r="C280" s="5" t="s">
        <v>26</v>
      </c>
      <c r="D280" s="5" t="s">
        <v>27</v>
      </c>
      <c r="E280" s="5" t="s">
        <v>21</v>
      </c>
      <c r="F280" s="5" t="s">
        <v>39</v>
      </c>
      <c r="G280" s="6" t="s">
        <v>23</v>
      </c>
      <c r="H280" s="5"/>
      <c r="I280" s="5"/>
    </row>
    <row r="281" customFormat="false" ht="15" hidden="false" customHeight="false" outlineLevel="0" collapsed="false">
      <c r="A281" s="7" t="s">
        <v>168</v>
      </c>
      <c r="B281" s="7" t="s">
        <v>169</v>
      </c>
      <c r="C281" s="7" t="s">
        <v>19</v>
      </c>
      <c r="D281" s="7" t="s">
        <v>20</v>
      </c>
      <c r="E281" s="7" t="s">
        <v>21</v>
      </c>
      <c r="F281" s="7" t="s">
        <v>42</v>
      </c>
      <c r="G281" s="8" t="s">
        <v>28</v>
      </c>
      <c r="H281" s="7" t="s">
        <v>29</v>
      </c>
      <c r="I281" s="7"/>
    </row>
    <row r="282" customFormat="false" ht="15" hidden="false" customHeight="false" outlineLevel="0" collapsed="false">
      <c r="A282" s="5" t="s">
        <v>168</v>
      </c>
      <c r="B282" s="5" t="s">
        <v>169</v>
      </c>
      <c r="C282" s="5" t="s">
        <v>24</v>
      </c>
      <c r="D282" s="5" t="s">
        <v>25</v>
      </c>
      <c r="E282" s="5" t="s">
        <v>21</v>
      </c>
      <c r="F282" s="5" t="s">
        <v>42</v>
      </c>
      <c r="G282" s="6" t="s">
        <v>23</v>
      </c>
      <c r="H282" s="5"/>
      <c r="I282" s="5" t="s">
        <v>67</v>
      </c>
    </row>
    <row r="283" customFormat="false" ht="15" hidden="false" customHeight="false" outlineLevel="0" collapsed="false">
      <c r="A283" s="7" t="s">
        <v>168</v>
      </c>
      <c r="B283" s="7" t="s">
        <v>169</v>
      </c>
      <c r="C283" s="7" t="s">
        <v>26</v>
      </c>
      <c r="D283" s="7" t="s">
        <v>27</v>
      </c>
      <c r="E283" s="7" t="s">
        <v>21</v>
      </c>
      <c r="F283" s="7" t="s">
        <v>42</v>
      </c>
      <c r="G283" s="8" t="s">
        <v>28</v>
      </c>
      <c r="H283" s="7" t="s">
        <v>29</v>
      </c>
      <c r="I283" s="7"/>
    </row>
    <row r="284" customFormat="false" ht="15" hidden="false" customHeight="false" outlineLevel="0" collapsed="false">
      <c r="A284" s="5" t="s">
        <v>168</v>
      </c>
      <c r="B284" s="5" t="s">
        <v>169</v>
      </c>
      <c r="C284" s="5" t="s">
        <v>30</v>
      </c>
      <c r="D284" s="5" t="s">
        <v>31</v>
      </c>
      <c r="E284" s="5" t="s">
        <v>21</v>
      </c>
      <c r="F284" s="5" t="s">
        <v>42</v>
      </c>
      <c r="G284" s="6" t="s">
        <v>23</v>
      </c>
      <c r="H284" s="5"/>
      <c r="I284" s="5"/>
    </row>
    <row r="285" customFormat="false" ht="15" hidden="false" customHeight="false" outlineLevel="0" collapsed="false">
      <c r="A285" s="7" t="s">
        <v>168</v>
      </c>
      <c r="B285" s="7" t="s">
        <v>169</v>
      </c>
      <c r="C285" s="7" t="s">
        <v>41</v>
      </c>
      <c r="D285" s="7" t="s">
        <v>66</v>
      </c>
      <c r="E285" s="7" t="s">
        <v>21</v>
      </c>
      <c r="F285" s="7" t="s">
        <v>42</v>
      </c>
      <c r="G285" s="8" t="s">
        <v>28</v>
      </c>
      <c r="H285" s="7" t="s">
        <v>29</v>
      </c>
      <c r="I285" s="7"/>
    </row>
    <row r="286" customFormat="false" ht="15" hidden="false" customHeight="false" outlineLevel="0" collapsed="false">
      <c r="A286" s="5" t="s">
        <v>170</v>
      </c>
      <c r="B286" s="5" t="s">
        <v>171</v>
      </c>
      <c r="C286" s="5" t="s">
        <v>19</v>
      </c>
      <c r="D286" s="5" t="s">
        <v>20</v>
      </c>
      <c r="E286" s="5" t="s">
        <v>21</v>
      </c>
      <c r="F286" s="5" t="s">
        <v>45</v>
      </c>
      <c r="G286" s="6" t="s">
        <v>23</v>
      </c>
      <c r="H286" s="5"/>
      <c r="I286" s="5" t="s">
        <v>67</v>
      </c>
    </row>
    <row r="287" customFormat="false" ht="15" hidden="false" customHeight="false" outlineLevel="0" collapsed="false">
      <c r="A287" s="7" t="s">
        <v>170</v>
      </c>
      <c r="B287" s="7" t="s">
        <v>171</v>
      </c>
      <c r="C287" s="7" t="s">
        <v>24</v>
      </c>
      <c r="D287" s="7" t="s">
        <v>25</v>
      </c>
      <c r="E287" s="7" t="s">
        <v>21</v>
      </c>
      <c r="F287" s="7" t="s">
        <v>45</v>
      </c>
      <c r="G287" s="6" t="s">
        <v>23</v>
      </c>
      <c r="H287" s="7"/>
      <c r="I287" s="7"/>
    </row>
    <row r="288" customFormat="false" ht="15" hidden="false" customHeight="false" outlineLevel="0" collapsed="false">
      <c r="A288" s="5" t="s">
        <v>170</v>
      </c>
      <c r="B288" s="5" t="s">
        <v>171</v>
      </c>
      <c r="C288" s="5" t="s">
        <v>26</v>
      </c>
      <c r="D288" s="5" t="s">
        <v>27</v>
      </c>
      <c r="E288" s="5" t="s">
        <v>21</v>
      </c>
      <c r="F288" s="5" t="s">
        <v>45</v>
      </c>
      <c r="G288" s="8" t="s">
        <v>28</v>
      </c>
      <c r="H288" s="5" t="s">
        <v>29</v>
      </c>
      <c r="I288" s="5"/>
    </row>
  </sheetData>
  <autoFilter ref="A1:I2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1F34"/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4" t="s">
        <v>9</v>
      </c>
      <c r="B1" s="4" t="s">
        <v>172</v>
      </c>
      <c r="C1" s="4" t="s">
        <v>15</v>
      </c>
      <c r="D1" s="4" t="s">
        <v>173</v>
      </c>
      <c r="E1" s="4" t="s">
        <v>174</v>
      </c>
    </row>
    <row r="2" customFormat="false" ht="15" hidden="false" customHeight="false" outlineLevel="0" collapsed="false">
      <c r="A2" s="9" t="s">
        <v>18</v>
      </c>
      <c r="B2" s="10" t="n">
        <f aca="false">COUNTIF('Coverage Data'!A2:A288,A2)</f>
        <v>4</v>
      </c>
      <c r="C2" s="10" t="n">
        <f aca="false">COUNTIFS('Coverage Data'!A2:A288,A2,'Coverage Data'!G2:G288,"YES")</f>
        <v>1</v>
      </c>
      <c r="D2" s="10" t="n">
        <f aca="false">B2-C2</f>
        <v>3</v>
      </c>
      <c r="E2" s="11" t="n">
        <f aca="false">IF(B2&gt;0,C2/B2,0)</f>
        <v>0.25</v>
      </c>
    </row>
    <row r="3" customFormat="false" ht="15" hidden="false" customHeight="false" outlineLevel="0" collapsed="false">
      <c r="A3" s="9" t="s">
        <v>50</v>
      </c>
      <c r="B3" s="10" t="n">
        <f aca="false">COUNTIF('Coverage Data'!A2:A288,A3)</f>
        <v>4</v>
      </c>
      <c r="C3" s="10" t="n">
        <f aca="false">COUNTIFS('Coverage Data'!A2:A288,A3,'Coverage Data'!G2:G288,"YES")</f>
        <v>1</v>
      </c>
      <c r="D3" s="10" t="n">
        <f aca="false">B3-C3</f>
        <v>3</v>
      </c>
      <c r="E3" s="11" t="n">
        <f aca="false">IF(B3&gt;0,C3/B3,0)</f>
        <v>0.25</v>
      </c>
    </row>
    <row r="4" customFormat="false" ht="15" hidden="false" customHeight="false" outlineLevel="0" collapsed="false">
      <c r="A4" s="9" t="s">
        <v>54</v>
      </c>
      <c r="B4" s="10" t="n">
        <f aca="false">COUNTIF('Coverage Data'!A2:A288,A4)</f>
        <v>3</v>
      </c>
      <c r="C4" s="10" t="n">
        <f aca="false">COUNTIFS('Coverage Data'!A2:A288,A4,'Coverage Data'!G2:G288,"YES")</f>
        <v>2</v>
      </c>
      <c r="D4" s="10" t="n">
        <f aca="false">B4-C4</f>
        <v>1</v>
      </c>
      <c r="E4" s="11" t="n">
        <f aca="false">IF(B4&gt;0,C4/B4,0)</f>
        <v>0.666666666666667</v>
      </c>
    </row>
    <row r="5" customFormat="false" ht="15" hidden="false" customHeight="false" outlineLevel="0" collapsed="false">
      <c r="A5" s="9" t="s">
        <v>56</v>
      </c>
      <c r="B5" s="10" t="n">
        <f aca="false">COUNTIF('Coverage Data'!A2:A288,A5)</f>
        <v>4</v>
      </c>
      <c r="C5" s="10" t="n">
        <f aca="false">COUNTIFS('Coverage Data'!A2:A288,A5,'Coverage Data'!G2:G288,"YES")</f>
        <v>2</v>
      </c>
      <c r="D5" s="10" t="n">
        <f aca="false">B5-C5</f>
        <v>2</v>
      </c>
      <c r="E5" s="11" t="n">
        <f aca="false">IF(B5&gt;0,C5/B5,0)</f>
        <v>0.5</v>
      </c>
    </row>
    <row r="6" customFormat="false" ht="15" hidden="false" customHeight="false" outlineLevel="0" collapsed="false">
      <c r="A6" s="9" t="s">
        <v>58</v>
      </c>
      <c r="B6" s="10" t="n">
        <f aca="false">COUNTIF('Coverage Data'!A2:A288,A6)</f>
        <v>4</v>
      </c>
      <c r="C6" s="10" t="n">
        <f aca="false">COUNTIFS('Coverage Data'!A2:A288,A6,'Coverage Data'!G2:G288,"YES")</f>
        <v>2</v>
      </c>
      <c r="D6" s="10" t="n">
        <f aca="false">B6-C6</f>
        <v>2</v>
      </c>
      <c r="E6" s="11" t="n">
        <f aca="false">IF(B6&gt;0,C6/B6,0)</f>
        <v>0.5</v>
      </c>
    </row>
    <row r="7" customFormat="false" ht="15" hidden="false" customHeight="false" outlineLevel="0" collapsed="false">
      <c r="A7" s="9" t="s">
        <v>60</v>
      </c>
      <c r="B7" s="10" t="n">
        <f aca="false">COUNTIF('Coverage Data'!A2:A288,A7)</f>
        <v>4</v>
      </c>
      <c r="C7" s="10" t="n">
        <f aca="false">COUNTIFS('Coverage Data'!A2:A288,A7,'Coverage Data'!G2:G288,"YES")</f>
        <v>2</v>
      </c>
      <c r="D7" s="10" t="n">
        <f aca="false">B7-C7</f>
        <v>2</v>
      </c>
      <c r="E7" s="11" t="n">
        <f aca="false">IF(B7&gt;0,C7/B7,0)</f>
        <v>0.5</v>
      </c>
    </row>
    <row r="8" customFormat="false" ht="15" hidden="false" customHeight="false" outlineLevel="0" collapsed="false">
      <c r="A8" s="9" t="s">
        <v>62</v>
      </c>
      <c r="B8" s="10" t="n">
        <f aca="false">COUNTIF('Coverage Data'!A2:A288,A8)</f>
        <v>4</v>
      </c>
      <c r="C8" s="10" t="n">
        <f aca="false">COUNTIFS('Coverage Data'!A2:A288,A8,'Coverage Data'!G2:G288,"YES")</f>
        <v>3</v>
      </c>
      <c r="D8" s="10" t="n">
        <f aca="false">B8-C8</f>
        <v>1</v>
      </c>
      <c r="E8" s="11" t="n">
        <f aca="false">IF(B8&gt;0,C8/B8,0)</f>
        <v>0.75</v>
      </c>
    </row>
    <row r="9" customFormat="false" ht="15" hidden="false" customHeight="false" outlineLevel="0" collapsed="false">
      <c r="A9" s="9" t="s">
        <v>33</v>
      </c>
      <c r="B9" s="10" t="n">
        <f aca="false">COUNTIF('Coverage Data'!A2:A288,A9)</f>
        <v>4</v>
      </c>
      <c r="C9" s="10" t="n">
        <f aca="false">COUNTIFS('Coverage Data'!A2:A288,A9,'Coverage Data'!G2:G288,"YES")</f>
        <v>3</v>
      </c>
      <c r="D9" s="10" t="n">
        <f aca="false">B9-C9</f>
        <v>1</v>
      </c>
      <c r="E9" s="11" t="n">
        <f aca="false">IF(B9&gt;0,C9/B9,0)</f>
        <v>0.75</v>
      </c>
    </row>
    <row r="10" customFormat="false" ht="15" hidden="false" customHeight="false" outlineLevel="0" collapsed="false">
      <c r="A10" s="9" t="s">
        <v>64</v>
      </c>
      <c r="B10" s="10" t="n">
        <f aca="false">COUNTIF('Coverage Data'!A2:A288,A10)</f>
        <v>5</v>
      </c>
      <c r="C10" s="10" t="n">
        <f aca="false">COUNTIFS('Coverage Data'!A2:A288,A10,'Coverage Data'!G2:G288,"YES")</f>
        <v>3</v>
      </c>
      <c r="D10" s="10" t="n">
        <f aca="false">B10-C10</f>
        <v>2</v>
      </c>
      <c r="E10" s="11" t="n">
        <f aca="false">IF(B10&gt;0,C10/B10,0)</f>
        <v>0.6</v>
      </c>
    </row>
    <row r="11" customFormat="false" ht="15" hidden="false" customHeight="false" outlineLevel="0" collapsed="false">
      <c r="A11" s="9" t="s">
        <v>68</v>
      </c>
      <c r="B11" s="10" t="n">
        <f aca="false">COUNTIF('Coverage Data'!A2:A288,A11)</f>
        <v>5</v>
      </c>
      <c r="C11" s="10" t="n">
        <f aca="false">COUNTIFS('Coverage Data'!A2:A288,A11,'Coverage Data'!G2:G288,"YES")</f>
        <v>4</v>
      </c>
      <c r="D11" s="10" t="n">
        <f aca="false">B11-C11</f>
        <v>1</v>
      </c>
      <c r="E11" s="11" t="n">
        <f aca="false">IF(B11&gt;0,C11/B11,0)</f>
        <v>0.8</v>
      </c>
    </row>
    <row r="12" customFormat="false" ht="15" hidden="false" customHeight="false" outlineLevel="0" collapsed="false">
      <c r="A12" s="9" t="s">
        <v>36</v>
      </c>
      <c r="B12" s="10" t="n">
        <f aca="false">COUNTIF('Coverage Data'!A2:A288,A12)</f>
        <v>4</v>
      </c>
      <c r="C12" s="10" t="n">
        <f aca="false">COUNTIFS('Coverage Data'!A2:A288,A12,'Coverage Data'!G2:G288,"YES")</f>
        <v>4</v>
      </c>
      <c r="D12" s="10" t="n">
        <f aca="false">B12-C12</f>
        <v>0</v>
      </c>
      <c r="E12" s="11" t="n">
        <f aca="false">IF(B12&gt;0,C12/B12,0)</f>
        <v>1</v>
      </c>
    </row>
    <row r="13" customFormat="false" ht="15" hidden="false" customHeight="false" outlineLevel="0" collapsed="false">
      <c r="A13" s="9" t="s">
        <v>70</v>
      </c>
      <c r="B13" s="10" t="n">
        <f aca="false">COUNTIF('Coverage Data'!A2:A288,A13)</f>
        <v>3</v>
      </c>
      <c r="C13" s="10" t="n">
        <f aca="false">COUNTIFS('Coverage Data'!A2:A288,A13,'Coverage Data'!G2:G288,"YES")</f>
        <v>2</v>
      </c>
      <c r="D13" s="10" t="n">
        <f aca="false">B13-C13</f>
        <v>1</v>
      </c>
      <c r="E13" s="11" t="n">
        <f aca="false">IF(B13&gt;0,C13/B13,0)</f>
        <v>0.666666666666667</v>
      </c>
    </row>
    <row r="14" customFormat="false" ht="15" hidden="false" customHeight="false" outlineLevel="0" collapsed="false">
      <c r="A14" s="9" t="s">
        <v>86</v>
      </c>
      <c r="B14" s="10" t="n">
        <f aca="false">COUNTIF('Coverage Data'!A2:A288,A14)</f>
        <v>9</v>
      </c>
      <c r="C14" s="10" t="n">
        <f aca="false">COUNTIFS('Coverage Data'!A2:A288,A14,'Coverage Data'!G2:G288,"YES")</f>
        <v>5</v>
      </c>
      <c r="D14" s="10" t="n">
        <f aca="false">B14-C14</f>
        <v>4</v>
      </c>
      <c r="E14" s="11" t="n">
        <f aca="false">IF(B14&gt;0,C14/B14,0)</f>
        <v>0.555555555555556</v>
      </c>
    </row>
    <row r="15" customFormat="false" ht="15" hidden="false" customHeight="false" outlineLevel="0" collapsed="false">
      <c r="A15" s="9" t="s">
        <v>72</v>
      </c>
      <c r="B15" s="10" t="n">
        <f aca="false">COUNTIF('Coverage Data'!A2:A288,A15)</f>
        <v>4</v>
      </c>
      <c r="C15" s="10" t="n">
        <f aca="false">COUNTIFS('Coverage Data'!A2:A288,A15,'Coverage Data'!G2:G288,"YES")</f>
        <v>3</v>
      </c>
      <c r="D15" s="10" t="n">
        <f aca="false">B15-C15</f>
        <v>1</v>
      </c>
      <c r="E15" s="11" t="n">
        <f aca="false">IF(B15&gt;0,C15/B15,0)</f>
        <v>0.75</v>
      </c>
    </row>
    <row r="16" customFormat="false" ht="15" hidden="false" customHeight="false" outlineLevel="0" collapsed="false">
      <c r="A16" s="9" t="s">
        <v>74</v>
      </c>
      <c r="B16" s="10" t="n">
        <f aca="false">COUNTIF('Coverage Data'!A2:A288,A16)</f>
        <v>4</v>
      </c>
      <c r="C16" s="10" t="n">
        <f aca="false">COUNTIFS('Coverage Data'!A2:A288,A16,'Coverage Data'!G2:G288,"YES")</f>
        <v>2</v>
      </c>
      <c r="D16" s="10" t="n">
        <f aca="false">B16-C16</f>
        <v>2</v>
      </c>
      <c r="E16" s="11" t="n">
        <f aca="false">IF(B16&gt;0,C16/B16,0)</f>
        <v>0.5</v>
      </c>
    </row>
    <row r="17" customFormat="false" ht="15" hidden="false" customHeight="false" outlineLevel="0" collapsed="false">
      <c r="A17" s="9" t="s">
        <v>76</v>
      </c>
      <c r="B17" s="10" t="n">
        <f aca="false">COUNTIF('Coverage Data'!A2:A288,A17)</f>
        <v>3</v>
      </c>
      <c r="C17" s="10" t="n">
        <f aca="false">COUNTIFS('Coverage Data'!A2:A288,A17,'Coverage Data'!G2:G288,"YES")</f>
        <v>2</v>
      </c>
      <c r="D17" s="10" t="n">
        <f aca="false">B17-C17</f>
        <v>1</v>
      </c>
      <c r="E17" s="11" t="n">
        <f aca="false">IF(B17&gt;0,C17/B17,0)</f>
        <v>0.666666666666667</v>
      </c>
    </row>
    <row r="18" customFormat="false" ht="15" hidden="false" customHeight="false" outlineLevel="0" collapsed="false">
      <c r="A18" s="9" t="s">
        <v>78</v>
      </c>
      <c r="B18" s="10" t="n">
        <f aca="false">COUNTIF('Coverage Data'!A2:A288,A18)</f>
        <v>4</v>
      </c>
      <c r="C18" s="10" t="n">
        <f aca="false">COUNTIFS('Coverage Data'!A2:A288,A18,'Coverage Data'!G2:G288,"YES")</f>
        <v>2</v>
      </c>
      <c r="D18" s="10" t="n">
        <f aca="false">B18-C18</f>
        <v>2</v>
      </c>
      <c r="E18" s="11" t="n">
        <f aca="false">IF(B18&gt;0,C18/B18,0)</f>
        <v>0.5</v>
      </c>
    </row>
    <row r="19" customFormat="false" ht="15" hidden="false" customHeight="false" outlineLevel="0" collapsed="false">
      <c r="A19" s="9" t="s">
        <v>80</v>
      </c>
      <c r="B19" s="10" t="n">
        <f aca="false">COUNTIF('Coverage Data'!A2:A288,A19)</f>
        <v>4</v>
      </c>
      <c r="C19" s="10" t="n">
        <f aca="false">COUNTIFS('Coverage Data'!A2:A288,A19,'Coverage Data'!G2:G288,"YES")</f>
        <v>2</v>
      </c>
      <c r="D19" s="10" t="n">
        <f aca="false">B19-C19</f>
        <v>2</v>
      </c>
      <c r="E19" s="11" t="n">
        <f aca="false">IF(B19&gt;0,C19/B19,0)</f>
        <v>0.5</v>
      </c>
    </row>
    <row r="20" customFormat="false" ht="15" hidden="false" customHeight="false" outlineLevel="0" collapsed="false">
      <c r="A20" s="9" t="s">
        <v>82</v>
      </c>
      <c r="B20" s="10" t="n">
        <f aca="false">COUNTIF('Coverage Data'!A2:A288,A20)</f>
        <v>4</v>
      </c>
      <c r="C20" s="10" t="n">
        <f aca="false">COUNTIFS('Coverage Data'!A2:A288,A20,'Coverage Data'!G2:G288,"YES")</f>
        <v>3</v>
      </c>
      <c r="D20" s="10" t="n">
        <f aca="false">B20-C20</f>
        <v>1</v>
      </c>
      <c r="E20" s="11" t="n">
        <f aca="false">IF(B20&gt;0,C20/B20,0)</f>
        <v>0.75</v>
      </c>
    </row>
    <row r="21" customFormat="false" ht="15" hidden="false" customHeight="false" outlineLevel="0" collapsed="false">
      <c r="A21" s="9" t="s">
        <v>84</v>
      </c>
      <c r="B21" s="10" t="n">
        <f aca="false">COUNTIF('Coverage Data'!A2:A288,A21)</f>
        <v>3</v>
      </c>
      <c r="C21" s="10" t="n">
        <f aca="false">COUNTIFS('Coverage Data'!A2:A288,A21,'Coverage Data'!G2:G288,"YES")</f>
        <v>2</v>
      </c>
      <c r="D21" s="10" t="n">
        <f aca="false">B21-C21</f>
        <v>1</v>
      </c>
      <c r="E21" s="11" t="n">
        <f aca="false">IF(B21&gt;0,C21/B21,0)</f>
        <v>0.666666666666667</v>
      </c>
    </row>
    <row r="22" customFormat="false" ht="15" hidden="false" customHeight="false" outlineLevel="0" collapsed="false">
      <c r="A22" s="9" t="s">
        <v>38</v>
      </c>
      <c r="B22" s="10" t="n">
        <f aca="false">COUNTIF('Coverage Data'!A2:A288,A22)</f>
        <v>4</v>
      </c>
      <c r="C22" s="10" t="n">
        <f aca="false">COUNTIFS('Coverage Data'!A2:A288,A22,'Coverage Data'!G2:G288,"YES")</f>
        <v>3</v>
      </c>
      <c r="D22" s="10" t="n">
        <f aca="false">B22-C22</f>
        <v>1</v>
      </c>
      <c r="E22" s="11" t="n">
        <f aca="false">IF(B22&gt;0,C22/B22,0)</f>
        <v>0.75</v>
      </c>
    </row>
    <row r="23" customFormat="false" ht="15" hidden="false" customHeight="false" outlineLevel="0" collapsed="false">
      <c r="A23" s="9" t="s">
        <v>168</v>
      </c>
      <c r="B23" s="10" t="n">
        <f aca="false">COUNTIF('Coverage Data'!A2:A288,A23)</f>
        <v>5</v>
      </c>
      <c r="C23" s="10" t="n">
        <f aca="false">COUNTIFS('Coverage Data'!A2:A288,A23,'Coverage Data'!G2:G288,"YES")</f>
        <v>3</v>
      </c>
      <c r="D23" s="10" t="n">
        <f aca="false">B23-C23</f>
        <v>2</v>
      </c>
      <c r="E23" s="11" t="n">
        <f aca="false">IF(B23&gt;0,C23/B23,0)</f>
        <v>0.6</v>
      </c>
    </row>
    <row r="24" customFormat="false" ht="15" hidden="false" customHeight="false" outlineLevel="0" collapsed="false">
      <c r="A24" s="9" t="s">
        <v>92</v>
      </c>
      <c r="B24" s="10" t="n">
        <f aca="false">COUNTIF('Coverage Data'!A2:A288,A24)</f>
        <v>6</v>
      </c>
      <c r="C24" s="10" t="n">
        <f aca="false">COUNTIFS('Coverage Data'!A2:A288,A24,'Coverage Data'!G2:G288,"YES")</f>
        <v>3</v>
      </c>
      <c r="D24" s="10" t="n">
        <f aca="false">B24-C24</f>
        <v>3</v>
      </c>
      <c r="E24" s="11" t="n">
        <f aca="false">IF(B24&gt;0,C24/B24,0)</f>
        <v>0.5</v>
      </c>
    </row>
    <row r="25" customFormat="false" ht="15" hidden="false" customHeight="false" outlineLevel="0" collapsed="false">
      <c r="A25" s="9" t="s">
        <v>40</v>
      </c>
      <c r="B25" s="10" t="n">
        <f aca="false">COUNTIF('Coverage Data'!A2:A288,A25)</f>
        <v>4</v>
      </c>
      <c r="C25" s="10" t="n">
        <f aca="false">COUNTIFS('Coverage Data'!A2:A288,A25,'Coverage Data'!G2:G288,"YES")</f>
        <v>2</v>
      </c>
      <c r="D25" s="10" t="n">
        <f aca="false">B25-C25</f>
        <v>2</v>
      </c>
      <c r="E25" s="11" t="n">
        <f aca="false">IF(B25&gt;0,C25/B25,0)</f>
        <v>0.5</v>
      </c>
    </row>
    <row r="26" customFormat="false" ht="15" hidden="false" customHeight="false" outlineLevel="0" collapsed="false">
      <c r="A26" s="9" t="s">
        <v>136</v>
      </c>
      <c r="B26" s="10" t="n">
        <f aca="false">COUNTIF('Coverage Data'!A2:A288,A26)</f>
        <v>3</v>
      </c>
      <c r="C26" s="10" t="n">
        <f aca="false">COUNTIFS('Coverage Data'!A2:A288,A26,'Coverage Data'!G2:G288,"YES")</f>
        <v>3</v>
      </c>
      <c r="D26" s="10" t="n">
        <f aca="false">B26-C26</f>
        <v>0</v>
      </c>
      <c r="E26" s="11" t="n">
        <f aca="false">IF(B26&gt;0,C26/B26,0)</f>
        <v>1</v>
      </c>
    </row>
    <row r="27" customFormat="false" ht="15" hidden="false" customHeight="false" outlineLevel="0" collapsed="false">
      <c r="A27" s="9" t="s">
        <v>94</v>
      </c>
      <c r="B27" s="10" t="n">
        <f aca="false">COUNTIF('Coverage Data'!A2:A288,A27)</f>
        <v>18</v>
      </c>
      <c r="C27" s="10" t="n">
        <f aca="false">COUNTIFS('Coverage Data'!A2:A288,A27,'Coverage Data'!G2:G288,"YES")</f>
        <v>12</v>
      </c>
      <c r="D27" s="10" t="n">
        <f aca="false">B27-C27</f>
        <v>6</v>
      </c>
      <c r="E27" s="11" t="n">
        <f aca="false">IF(B27&gt;0,C27/B27,0)</f>
        <v>0.666666666666667</v>
      </c>
    </row>
    <row r="28" customFormat="false" ht="15" hidden="false" customHeight="false" outlineLevel="0" collapsed="false">
      <c r="A28" s="9" t="s">
        <v>108</v>
      </c>
      <c r="B28" s="10" t="n">
        <f aca="false">COUNTIF('Coverage Data'!A2:A288,A28)</f>
        <v>5</v>
      </c>
      <c r="C28" s="10" t="n">
        <f aca="false">COUNTIFS('Coverage Data'!A2:A288,A28,'Coverage Data'!G2:G288,"YES")</f>
        <v>4</v>
      </c>
      <c r="D28" s="10" t="n">
        <f aca="false">B28-C28</f>
        <v>1</v>
      </c>
      <c r="E28" s="11" t="n">
        <f aca="false">IF(B28&gt;0,C28/B28,0)</f>
        <v>0.8</v>
      </c>
    </row>
    <row r="29" customFormat="false" ht="15" hidden="false" customHeight="false" outlineLevel="0" collapsed="false">
      <c r="A29" s="9" t="s">
        <v>43</v>
      </c>
      <c r="B29" s="10" t="n">
        <f aca="false">COUNTIF('Coverage Data'!A2:A288,A29)</f>
        <v>4</v>
      </c>
      <c r="C29" s="10" t="n">
        <f aca="false">COUNTIFS('Coverage Data'!A2:A288,A29,'Coverage Data'!G2:G288,"YES")</f>
        <v>3</v>
      </c>
      <c r="D29" s="10" t="n">
        <f aca="false">B29-C29</f>
        <v>1</v>
      </c>
      <c r="E29" s="11" t="n">
        <f aca="false">IF(B29&gt;0,C29/B29,0)</f>
        <v>0.75</v>
      </c>
    </row>
    <row r="30" customFormat="false" ht="15" hidden="false" customHeight="false" outlineLevel="0" collapsed="false">
      <c r="A30" s="9" t="s">
        <v>138</v>
      </c>
      <c r="B30" s="10" t="n">
        <f aca="false">COUNTIF('Coverage Data'!A2:A288,A30)</f>
        <v>5</v>
      </c>
      <c r="C30" s="10" t="n">
        <f aca="false">COUNTIFS('Coverage Data'!A2:A288,A30,'Coverage Data'!G2:G288,"YES")</f>
        <v>2</v>
      </c>
      <c r="D30" s="10" t="n">
        <f aca="false">B30-C30</f>
        <v>3</v>
      </c>
      <c r="E30" s="11" t="n">
        <f aca="false">IF(B30&gt;0,C30/B30,0)</f>
        <v>0.4</v>
      </c>
    </row>
    <row r="31" customFormat="false" ht="15" hidden="false" customHeight="false" outlineLevel="0" collapsed="false">
      <c r="A31" s="9" t="s">
        <v>140</v>
      </c>
      <c r="B31" s="10" t="n">
        <f aca="false">COUNTIF('Coverage Data'!A2:A288,A31)</f>
        <v>5</v>
      </c>
      <c r="C31" s="10" t="n">
        <f aca="false">COUNTIFS('Coverage Data'!A2:A288,A31,'Coverage Data'!G2:G288,"YES")</f>
        <v>2</v>
      </c>
      <c r="D31" s="10" t="n">
        <f aca="false">B31-C31</f>
        <v>3</v>
      </c>
      <c r="E31" s="11" t="n">
        <f aca="false">IF(B31&gt;0,C31/B31,0)</f>
        <v>0.4</v>
      </c>
    </row>
    <row r="32" customFormat="false" ht="15" hidden="false" customHeight="false" outlineLevel="0" collapsed="false">
      <c r="A32" s="9" t="s">
        <v>110</v>
      </c>
      <c r="B32" s="10" t="n">
        <f aca="false">COUNTIF('Coverage Data'!A2:A288,A32)</f>
        <v>5</v>
      </c>
      <c r="C32" s="10" t="n">
        <f aca="false">COUNTIFS('Coverage Data'!A2:A288,A32,'Coverage Data'!G2:G288,"YES")</f>
        <v>5</v>
      </c>
      <c r="D32" s="10" t="n">
        <f aca="false">B32-C32</f>
        <v>0</v>
      </c>
      <c r="E32" s="11" t="n">
        <f aca="false">IF(B32&gt;0,C32/B32,0)</f>
        <v>1</v>
      </c>
    </row>
    <row r="33" customFormat="false" ht="15" hidden="false" customHeight="false" outlineLevel="0" collapsed="false">
      <c r="A33" s="9" t="s">
        <v>112</v>
      </c>
      <c r="B33" s="10" t="n">
        <f aca="false">COUNTIF('Coverage Data'!A2:A288,A33)</f>
        <v>6</v>
      </c>
      <c r="C33" s="10" t="n">
        <f aca="false">COUNTIFS('Coverage Data'!A2:A288,A33,'Coverage Data'!G2:G288,"YES")</f>
        <v>5</v>
      </c>
      <c r="D33" s="10" t="n">
        <f aca="false">B33-C33</f>
        <v>1</v>
      </c>
      <c r="E33" s="11" t="n">
        <f aca="false">IF(B33&gt;0,C33/B33,0)</f>
        <v>0.833333333333333</v>
      </c>
    </row>
    <row r="34" customFormat="false" ht="15" hidden="false" customHeight="false" outlineLevel="0" collapsed="false">
      <c r="A34" s="9" t="s">
        <v>46</v>
      </c>
      <c r="B34" s="10" t="n">
        <f aca="false">COUNTIF('Coverage Data'!A2:A288,A34)</f>
        <v>4</v>
      </c>
      <c r="C34" s="10" t="n">
        <f aca="false">COUNTIFS('Coverage Data'!A2:A288,A34,'Coverage Data'!G2:G288,"YES")</f>
        <v>3</v>
      </c>
      <c r="D34" s="10" t="n">
        <f aca="false">B34-C34</f>
        <v>1</v>
      </c>
      <c r="E34" s="11" t="n">
        <f aca="false">IF(B34&gt;0,C34/B34,0)</f>
        <v>0.75</v>
      </c>
    </row>
    <row r="35" customFormat="false" ht="15" hidden="false" customHeight="false" outlineLevel="0" collapsed="false">
      <c r="A35" s="9" t="s">
        <v>114</v>
      </c>
      <c r="B35" s="10" t="n">
        <f aca="false">COUNTIF('Coverage Data'!A2:A288,A35)</f>
        <v>7</v>
      </c>
      <c r="C35" s="10" t="n">
        <f aca="false">COUNTIFS('Coverage Data'!A2:A288,A35,'Coverage Data'!G2:G288,"YES")</f>
        <v>4</v>
      </c>
      <c r="D35" s="10" t="n">
        <f aca="false">B35-C35</f>
        <v>3</v>
      </c>
      <c r="E35" s="11" t="n">
        <f aca="false">IF(B35&gt;0,C35/B35,0)</f>
        <v>0.571428571428571</v>
      </c>
    </row>
    <row r="36" customFormat="false" ht="15" hidden="false" customHeight="false" outlineLevel="0" collapsed="false">
      <c r="A36" s="9" t="s">
        <v>48</v>
      </c>
      <c r="B36" s="10" t="n">
        <f aca="false">COUNTIF('Coverage Data'!A2:A288,A36)</f>
        <v>4</v>
      </c>
      <c r="C36" s="10" t="n">
        <f aca="false">COUNTIFS('Coverage Data'!A2:A288,A36,'Coverage Data'!G2:G288,"YES")</f>
        <v>2</v>
      </c>
      <c r="D36" s="10" t="n">
        <f aca="false">B36-C36</f>
        <v>2</v>
      </c>
      <c r="E36" s="11" t="n">
        <f aca="false">IF(B36&gt;0,C36/B36,0)</f>
        <v>0.5</v>
      </c>
    </row>
    <row r="37" customFormat="false" ht="15" hidden="false" customHeight="false" outlineLevel="0" collapsed="false">
      <c r="A37" s="9" t="s">
        <v>52</v>
      </c>
      <c r="B37" s="10" t="n">
        <f aca="false">COUNTIF('Coverage Data'!A2:A288,A37)</f>
        <v>3</v>
      </c>
      <c r="C37" s="10" t="n">
        <f aca="false">COUNTIFS('Coverage Data'!A2:A288,A37,'Coverage Data'!G2:G288,"YES")</f>
        <v>3</v>
      </c>
      <c r="D37" s="10" t="n">
        <f aca="false">B37-C37</f>
        <v>0</v>
      </c>
      <c r="E37" s="11" t="n">
        <f aca="false">IF(B37&gt;0,C37/B37,0)</f>
        <v>1</v>
      </c>
    </row>
    <row r="38" customFormat="false" ht="15" hidden="false" customHeight="false" outlineLevel="0" collapsed="false">
      <c r="A38" s="9" t="s">
        <v>116</v>
      </c>
      <c r="B38" s="10" t="n">
        <f aca="false">COUNTIF('Coverage Data'!A2:A288,A38)</f>
        <v>7</v>
      </c>
      <c r="C38" s="10" t="n">
        <f aca="false">COUNTIFS('Coverage Data'!A2:A288,A38,'Coverage Data'!G2:G288,"YES")</f>
        <v>6</v>
      </c>
      <c r="D38" s="10" t="n">
        <f aca="false">B38-C38</f>
        <v>1</v>
      </c>
      <c r="E38" s="11" t="n">
        <f aca="false">IF(B38&gt;0,C38/B38,0)</f>
        <v>0.857142857142857</v>
      </c>
    </row>
    <row r="39" customFormat="false" ht="15" hidden="false" customHeight="false" outlineLevel="0" collapsed="false">
      <c r="A39" s="9" t="s">
        <v>118</v>
      </c>
      <c r="B39" s="10" t="n">
        <f aca="false">COUNTIF('Coverage Data'!A2:A288,A39)</f>
        <v>4</v>
      </c>
      <c r="C39" s="10" t="n">
        <f aca="false">COUNTIFS('Coverage Data'!A2:A288,A39,'Coverage Data'!G2:G288,"YES")</f>
        <v>2</v>
      </c>
      <c r="D39" s="10" t="n">
        <f aca="false">B39-C39</f>
        <v>2</v>
      </c>
      <c r="E39" s="11" t="n">
        <f aca="false">IF(B39&gt;0,C39/B39,0)</f>
        <v>0.5</v>
      </c>
    </row>
    <row r="40" customFormat="false" ht="15" hidden="false" customHeight="false" outlineLevel="0" collapsed="false">
      <c r="A40" s="9" t="s">
        <v>120</v>
      </c>
      <c r="B40" s="10" t="n">
        <f aca="false">COUNTIF('Coverage Data'!A2:A288,A40)</f>
        <v>3</v>
      </c>
      <c r="C40" s="10" t="n">
        <f aca="false">COUNTIFS('Coverage Data'!A2:A288,A40,'Coverage Data'!G2:G288,"YES")</f>
        <v>1</v>
      </c>
      <c r="D40" s="10" t="n">
        <f aca="false">B40-C40</f>
        <v>2</v>
      </c>
      <c r="E40" s="11" t="n">
        <f aca="false">IF(B40&gt;0,C40/B40,0)</f>
        <v>0.333333333333333</v>
      </c>
    </row>
    <row r="41" customFormat="false" ht="15" hidden="false" customHeight="false" outlineLevel="0" collapsed="false">
      <c r="A41" s="9" t="s">
        <v>122</v>
      </c>
      <c r="B41" s="10" t="n">
        <f aca="false">COUNTIF('Coverage Data'!A2:A288,A41)</f>
        <v>3</v>
      </c>
      <c r="C41" s="10" t="n">
        <f aca="false">COUNTIFS('Coverage Data'!A2:A288,A41,'Coverage Data'!G2:G288,"YES")</f>
        <v>2</v>
      </c>
      <c r="D41" s="10" t="n">
        <f aca="false">B41-C41</f>
        <v>1</v>
      </c>
      <c r="E41" s="11" t="n">
        <f aca="false">IF(B41&gt;0,C41/B41,0)</f>
        <v>0.666666666666667</v>
      </c>
    </row>
    <row r="42" customFormat="false" ht="15" hidden="false" customHeight="false" outlineLevel="0" collapsed="false">
      <c r="A42" s="9" t="s">
        <v>124</v>
      </c>
      <c r="B42" s="10" t="n">
        <f aca="false">COUNTIF('Coverage Data'!A2:A288,A42)</f>
        <v>5</v>
      </c>
      <c r="C42" s="10" t="n">
        <f aca="false">COUNTIFS('Coverage Data'!A2:A288,A42,'Coverage Data'!G2:G288,"YES")</f>
        <v>4</v>
      </c>
      <c r="D42" s="10" t="n">
        <f aca="false">B42-C42</f>
        <v>1</v>
      </c>
      <c r="E42" s="11" t="n">
        <f aca="false">IF(B42&gt;0,C42/B42,0)</f>
        <v>0.8</v>
      </c>
    </row>
    <row r="43" customFormat="false" ht="15" hidden="false" customHeight="false" outlineLevel="0" collapsed="false">
      <c r="A43" s="9" t="s">
        <v>170</v>
      </c>
      <c r="B43" s="10" t="n">
        <f aca="false">COUNTIF('Coverage Data'!A2:A288,A43)</f>
        <v>3</v>
      </c>
      <c r="C43" s="10" t="n">
        <f aca="false">COUNTIFS('Coverage Data'!A2:A288,A43,'Coverage Data'!G2:G288,"YES")</f>
        <v>1</v>
      </c>
      <c r="D43" s="10" t="n">
        <f aca="false">B43-C43</f>
        <v>2</v>
      </c>
      <c r="E43" s="11" t="n">
        <f aca="false">IF(B43&gt;0,C43/B43,0)</f>
        <v>0.333333333333333</v>
      </c>
    </row>
    <row r="44" customFormat="false" ht="15" hidden="false" customHeight="false" outlineLevel="0" collapsed="false">
      <c r="A44" s="9" t="s">
        <v>126</v>
      </c>
      <c r="B44" s="10" t="n">
        <f aca="false">COUNTIF('Coverage Data'!A2:A288,A44)</f>
        <v>3</v>
      </c>
      <c r="C44" s="10" t="n">
        <f aca="false">COUNTIFS('Coverage Data'!A2:A288,A44,'Coverage Data'!G2:G288,"YES")</f>
        <v>2</v>
      </c>
      <c r="D44" s="10" t="n">
        <f aca="false">B44-C44</f>
        <v>1</v>
      </c>
      <c r="E44" s="11" t="n">
        <f aca="false">IF(B44&gt;0,C44/B44,0)</f>
        <v>0.666666666666667</v>
      </c>
    </row>
    <row r="45" customFormat="false" ht="15" hidden="false" customHeight="false" outlineLevel="0" collapsed="false">
      <c r="A45" s="9" t="s">
        <v>128</v>
      </c>
      <c r="B45" s="10" t="n">
        <f aca="false">COUNTIF('Coverage Data'!A2:A288,A45)</f>
        <v>5</v>
      </c>
      <c r="C45" s="10" t="n">
        <f aca="false">COUNTIFS('Coverage Data'!A2:A288,A45,'Coverage Data'!G2:G288,"YES")</f>
        <v>3</v>
      </c>
      <c r="D45" s="10" t="n">
        <f aca="false">B45-C45</f>
        <v>2</v>
      </c>
      <c r="E45" s="11" t="n">
        <f aca="false">IF(B45&gt;0,C45/B45,0)</f>
        <v>0.6</v>
      </c>
    </row>
    <row r="46" customFormat="false" ht="15" hidden="false" customHeight="false" outlineLevel="0" collapsed="false">
      <c r="A46" s="9" t="s">
        <v>130</v>
      </c>
      <c r="B46" s="10" t="n">
        <f aca="false">COUNTIF('Coverage Data'!A2:A288,A46)</f>
        <v>6</v>
      </c>
      <c r="C46" s="10" t="n">
        <f aca="false">COUNTIFS('Coverage Data'!A2:A288,A46,'Coverage Data'!G2:G288,"YES")</f>
        <v>3</v>
      </c>
      <c r="D46" s="10" t="n">
        <f aca="false">B46-C46</f>
        <v>3</v>
      </c>
      <c r="E46" s="11" t="n">
        <f aca="false">IF(B46&gt;0,C46/B46,0)</f>
        <v>0.5</v>
      </c>
    </row>
    <row r="47" customFormat="false" ht="15" hidden="false" customHeight="false" outlineLevel="0" collapsed="false">
      <c r="A47" s="9" t="s">
        <v>132</v>
      </c>
      <c r="B47" s="10" t="n">
        <f aca="false">COUNTIF('Coverage Data'!A2:A288,A47)</f>
        <v>5</v>
      </c>
      <c r="C47" s="10" t="n">
        <f aca="false">COUNTIFS('Coverage Data'!A2:A288,A47,'Coverage Data'!G2:G288,"YES")</f>
        <v>2</v>
      </c>
      <c r="D47" s="10" t="n">
        <f aca="false">B47-C47</f>
        <v>3</v>
      </c>
      <c r="E47" s="11" t="n">
        <f aca="false">IF(B47&gt;0,C47/B47,0)</f>
        <v>0.4</v>
      </c>
    </row>
    <row r="48" customFormat="false" ht="15" hidden="false" customHeight="false" outlineLevel="0" collapsed="false">
      <c r="A48" s="9" t="s">
        <v>134</v>
      </c>
      <c r="B48" s="10" t="n">
        <f aca="false">COUNTIF('Coverage Data'!A2:A288,A48)</f>
        <v>5</v>
      </c>
      <c r="C48" s="10" t="n">
        <f aca="false">COUNTIFS('Coverage Data'!A2:A288,A48,'Coverage Data'!G2:G288,"YES")</f>
        <v>4</v>
      </c>
      <c r="D48" s="10" t="n">
        <f aca="false">B48-C48</f>
        <v>1</v>
      </c>
      <c r="E48" s="11" t="n">
        <f aca="false">IF(B48&gt;0,C48/B48,0)</f>
        <v>0.8</v>
      </c>
    </row>
    <row r="49" customFormat="false" ht="15" hidden="false" customHeight="false" outlineLevel="0" collapsed="false">
      <c r="A49" s="9" t="s">
        <v>158</v>
      </c>
      <c r="B49" s="10" t="n">
        <f aca="false">COUNTIF('Coverage Data'!A2:A288,A49)</f>
        <v>3</v>
      </c>
      <c r="C49" s="10" t="n">
        <f aca="false">COUNTIFS('Coverage Data'!A2:A288,A49,'Coverage Data'!G2:G288,"YES")</f>
        <v>1</v>
      </c>
      <c r="D49" s="10" t="n">
        <f aca="false">B49-C49</f>
        <v>2</v>
      </c>
      <c r="E49" s="11" t="n">
        <f aca="false">IF(B49&gt;0,C49/B49,0)</f>
        <v>0.333333333333333</v>
      </c>
    </row>
    <row r="50" customFormat="false" ht="15" hidden="false" customHeight="false" outlineLevel="0" collapsed="false">
      <c r="A50" s="9" t="s">
        <v>142</v>
      </c>
      <c r="B50" s="10" t="n">
        <f aca="false">COUNTIF('Coverage Data'!A2:A288,A50)</f>
        <v>6</v>
      </c>
      <c r="C50" s="10" t="n">
        <f aca="false">COUNTIFS('Coverage Data'!A2:A288,A50,'Coverage Data'!G2:G288,"YES")</f>
        <v>6</v>
      </c>
      <c r="D50" s="10" t="n">
        <f aca="false">B50-C50</f>
        <v>0</v>
      </c>
      <c r="E50" s="11" t="n">
        <f aca="false">IF(B50&gt;0,C50/B50,0)</f>
        <v>1</v>
      </c>
    </row>
    <row r="51" customFormat="false" ht="15" hidden="false" customHeight="false" outlineLevel="0" collapsed="false">
      <c r="A51" s="9" t="s">
        <v>160</v>
      </c>
      <c r="B51" s="10" t="n">
        <f aca="false">COUNTIF('Coverage Data'!A2:A288,A51)</f>
        <v>2</v>
      </c>
      <c r="C51" s="10" t="n">
        <f aca="false">COUNTIFS('Coverage Data'!A2:A288,A51,'Coverage Data'!G2:G288,"YES")</f>
        <v>0</v>
      </c>
      <c r="D51" s="10" t="n">
        <f aca="false">B51-C51</f>
        <v>2</v>
      </c>
      <c r="E51" s="11" t="n">
        <f aca="false">IF(B51&gt;0,C51/B51,0)</f>
        <v>0</v>
      </c>
    </row>
    <row r="52" customFormat="false" ht="15" hidden="false" customHeight="false" outlineLevel="0" collapsed="false">
      <c r="A52" s="9" t="s">
        <v>162</v>
      </c>
      <c r="B52" s="10" t="n">
        <f aca="false">COUNTIF('Coverage Data'!A2:A288,A52)</f>
        <v>5</v>
      </c>
      <c r="C52" s="10" t="n">
        <f aca="false">COUNTIFS('Coverage Data'!A2:A288,A52,'Coverage Data'!G2:G288,"YES")</f>
        <v>2</v>
      </c>
      <c r="D52" s="10" t="n">
        <f aca="false">B52-C52</f>
        <v>3</v>
      </c>
      <c r="E52" s="11" t="n">
        <f aca="false">IF(B52&gt;0,C52/B52,0)</f>
        <v>0.4</v>
      </c>
    </row>
    <row r="53" customFormat="false" ht="15" hidden="false" customHeight="false" outlineLevel="0" collapsed="false">
      <c r="A53" s="9" t="s">
        <v>164</v>
      </c>
      <c r="B53" s="10" t="n">
        <f aca="false">COUNTIF('Coverage Data'!A2:A288,A53)</f>
        <v>3</v>
      </c>
      <c r="C53" s="10" t="n">
        <f aca="false">COUNTIFS('Coverage Data'!A2:A288,A53,'Coverage Data'!G2:G288,"YES")</f>
        <v>3</v>
      </c>
      <c r="D53" s="10" t="n">
        <f aca="false">B53-C53</f>
        <v>0</v>
      </c>
      <c r="E53" s="11" t="n">
        <f aca="false">IF(B53&gt;0,C53/B53,0)</f>
        <v>1</v>
      </c>
    </row>
    <row r="54" customFormat="false" ht="15" hidden="false" customHeight="false" outlineLevel="0" collapsed="false">
      <c r="A54" s="9" t="s">
        <v>166</v>
      </c>
      <c r="B54" s="10" t="n">
        <f aca="false">COUNTIF('Coverage Data'!A2:A288,A54)</f>
        <v>3</v>
      </c>
      <c r="C54" s="10" t="n">
        <f aca="false">COUNTIFS('Coverage Data'!A2:A288,A54,'Coverage Data'!G2:G288,"YES")</f>
        <v>1</v>
      </c>
      <c r="D54" s="10" t="n">
        <f aca="false">B54-C54</f>
        <v>2</v>
      </c>
      <c r="E54" s="11" t="n">
        <f aca="false">IF(B54&gt;0,C54/B54,0)</f>
        <v>0.333333333333333</v>
      </c>
    </row>
    <row r="55" customFormat="false" ht="15" hidden="false" customHeight="false" outlineLevel="0" collapsed="false">
      <c r="A55" s="9" t="s">
        <v>144</v>
      </c>
      <c r="B55" s="10" t="n">
        <f aca="false">COUNTIF('Coverage Data'!A2:A288,A55)</f>
        <v>8</v>
      </c>
      <c r="C55" s="10" t="n">
        <f aca="false">COUNTIFS('Coverage Data'!A2:A288,A55,'Coverage Data'!G2:G288,"YES")</f>
        <v>5</v>
      </c>
      <c r="D55" s="10" t="n">
        <f aca="false">B55-C55</f>
        <v>3</v>
      </c>
      <c r="E55" s="11" t="n">
        <f aca="false">IF(B55&gt;0,C55/B55,0)</f>
        <v>0.625</v>
      </c>
    </row>
    <row r="56" customFormat="false" ht="15" hidden="false" customHeight="false" outlineLevel="0" collapsed="false">
      <c r="A56" s="9" t="s">
        <v>148</v>
      </c>
      <c r="B56" s="10" t="n">
        <f aca="false">COUNTIF('Coverage Data'!A2:A288,A56)</f>
        <v>6</v>
      </c>
      <c r="C56" s="10" t="n">
        <f aca="false">COUNTIFS('Coverage Data'!A2:A288,A56,'Coverage Data'!G2:G288,"YES")</f>
        <v>3</v>
      </c>
      <c r="D56" s="10" t="n">
        <f aca="false">B56-C56</f>
        <v>3</v>
      </c>
      <c r="E56" s="11" t="n">
        <f aca="false">IF(B56&gt;0,C56/B56,0)</f>
        <v>0.5</v>
      </c>
    </row>
    <row r="57" customFormat="false" ht="15" hidden="false" customHeight="false" outlineLevel="0" collapsed="false">
      <c r="A57" s="9" t="s">
        <v>150</v>
      </c>
      <c r="B57" s="10" t="n">
        <f aca="false">COUNTIF('Coverage Data'!A2:A288,A57)</f>
        <v>5</v>
      </c>
      <c r="C57" s="10" t="n">
        <f aca="false">COUNTIFS('Coverage Data'!A2:A288,A57,'Coverage Data'!G2:G288,"YES")</f>
        <v>2</v>
      </c>
      <c r="D57" s="10" t="n">
        <f aca="false">B57-C57</f>
        <v>3</v>
      </c>
      <c r="E57" s="11" t="n">
        <f aca="false">IF(B57&gt;0,C57/B57,0)</f>
        <v>0.4</v>
      </c>
    </row>
    <row r="58" customFormat="false" ht="15" hidden="false" customHeight="false" outlineLevel="0" collapsed="false">
      <c r="A58" s="9" t="s">
        <v>152</v>
      </c>
      <c r="B58" s="10" t="n">
        <f aca="false">COUNTIF('Coverage Data'!A2:A288,A58)</f>
        <v>5</v>
      </c>
      <c r="C58" s="10" t="n">
        <f aca="false">COUNTIFS('Coverage Data'!A2:A288,A58,'Coverage Data'!G2:G288,"YES")</f>
        <v>2</v>
      </c>
      <c r="D58" s="10" t="n">
        <f aca="false">B58-C58</f>
        <v>3</v>
      </c>
      <c r="E58" s="11" t="n">
        <f aca="false">IF(B58&gt;0,C58/B58,0)</f>
        <v>0.4</v>
      </c>
    </row>
    <row r="59" customFormat="false" ht="15" hidden="false" customHeight="false" outlineLevel="0" collapsed="false">
      <c r="A59" s="9" t="s">
        <v>146</v>
      </c>
      <c r="B59" s="10" t="n">
        <f aca="false">COUNTIF('Coverage Data'!A2:A288,A59)</f>
        <v>6</v>
      </c>
      <c r="C59" s="10" t="n">
        <f aca="false">COUNTIFS('Coverage Data'!A2:A288,A59,'Coverage Data'!G2:G288,"YES")</f>
        <v>4</v>
      </c>
      <c r="D59" s="10" t="n">
        <f aca="false">B59-C59</f>
        <v>2</v>
      </c>
      <c r="E59" s="11" t="n">
        <f aca="false">IF(B59&gt;0,C59/B59,0)</f>
        <v>0.666666666666667</v>
      </c>
    </row>
    <row r="60" customFormat="false" ht="15" hidden="false" customHeight="false" outlineLevel="0" collapsed="false">
      <c r="A60" s="9" t="s">
        <v>154</v>
      </c>
      <c r="B60" s="10" t="n">
        <f aca="false">COUNTIF('Coverage Data'!A2:A288,A60)</f>
        <v>5</v>
      </c>
      <c r="C60" s="10" t="n">
        <f aca="false">COUNTIFS('Coverage Data'!A2:A288,A60,'Coverage Data'!G2:G288,"YES")</f>
        <v>4</v>
      </c>
      <c r="D60" s="10" t="n">
        <f aca="false">B60-C60</f>
        <v>1</v>
      </c>
      <c r="E60" s="11" t="n">
        <f aca="false">IF(B60&gt;0,C60/B60,0)</f>
        <v>0.8</v>
      </c>
    </row>
    <row r="61" customFormat="false" ht="15" hidden="false" customHeight="false" outlineLevel="0" collapsed="false">
      <c r="A61" s="9" t="s">
        <v>156</v>
      </c>
      <c r="B61" s="10" t="n">
        <f aca="false">COUNTIF('Coverage Data'!A2:A288,A61)</f>
        <v>10</v>
      </c>
      <c r="C61" s="10" t="n">
        <f aca="false">COUNTIFS('Coverage Data'!A2:A288,A61,'Coverage Data'!G2:G288,"YES")</f>
        <v>5</v>
      </c>
      <c r="D61" s="10" t="n">
        <f aca="false">B61-C61</f>
        <v>5</v>
      </c>
      <c r="E61" s="11" t="n">
        <f aca="false">IF(B61&gt;0,C61/B61,0)</f>
        <v>0.5</v>
      </c>
    </row>
    <row r="62" customFormat="false" ht="15" hidden="false" customHeight="false" outlineLevel="0" collapsed="false">
      <c r="A62" s="12" t="s">
        <v>175</v>
      </c>
      <c r="B62" s="13" t="n">
        <f aca="false">SUM(B2:B61)</f>
        <v>287</v>
      </c>
      <c r="C62" s="13" t="n">
        <f aca="false">SUM(C2:C61)</f>
        <v>177</v>
      </c>
      <c r="D62" s="13" t="n">
        <f aca="false">SUM(D2:D61)</f>
        <v>110</v>
      </c>
      <c r="E62" s="14" t="n">
        <f aca="false">IF(B62&gt;0,C62/B62,0)</f>
        <v>0.616724738675958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2026-03-13T18:58:17Z</dcterms:created>
  <dc:creator>openpyxl</dc:creator>
  <dc:description/>
  <dc:language>en-US</dc:language>
  <cp:lastModifiedBy/>
  <dcterms:modified xsi:type="dcterms:W3CDTF">2026-03-13T18:58:17Z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